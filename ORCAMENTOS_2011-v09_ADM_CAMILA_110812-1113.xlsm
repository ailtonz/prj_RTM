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aPasta_de_trabalho" defaultThemeVersion="124226"/>
  <bookViews>
    <workbookView xWindow="120" yWindow="75" windowWidth="15180" windowHeight="8070"/>
  </bookViews>
  <sheets>
    <sheet name="CAMILA" sheetId="10" r:id="rId1"/>
  </sheets>
  <functionGroups/>
  <definedNames>
    <definedName name="_xlnm.Print_Area" localSheetId="0">CAMILA!$B$1:$J$87</definedName>
  </definedNames>
  <calcPr calcId="125725"/>
</workbook>
</file>

<file path=xl/calcChain.xml><?xml version="1.0" encoding="utf-8"?>
<calcChain xmlns="http://schemas.openxmlformats.org/spreadsheetml/2006/main">
  <c r="G7" i="10"/>
  <c r="K36"/>
  <c r="J87"/>
  <c r="I87"/>
  <c r="H87"/>
  <c r="G87"/>
  <c r="F87"/>
  <c r="E87"/>
  <c r="D87"/>
  <c r="C87"/>
  <c r="J77"/>
  <c r="J81" s="1"/>
  <c r="I77"/>
  <c r="I81" s="1"/>
  <c r="H77"/>
  <c r="H81" s="1"/>
  <c r="G77"/>
  <c r="G81" s="1"/>
  <c r="F77"/>
  <c r="F81" s="1"/>
  <c r="E77"/>
  <c r="E81" s="1"/>
  <c r="D77"/>
  <c r="D81" s="1"/>
  <c r="C77"/>
  <c r="J80" l="1"/>
  <c r="H80"/>
  <c r="F80"/>
  <c r="D80"/>
  <c r="C82"/>
  <c r="C80"/>
  <c r="I80"/>
  <c r="G80"/>
  <c r="E80"/>
  <c r="C81"/>
  <c r="K81" s="1"/>
  <c r="K77"/>
  <c r="F82"/>
  <c r="J82"/>
  <c r="D82"/>
  <c r="K82" s="1"/>
  <c r="H82"/>
  <c r="K80"/>
  <c r="E82"/>
  <c r="G82"/>
  <c r="I82"/>
  <c r="B71"/>
  <c r="L66" l="1"/>
  <c r="N63" s="1"/>
  <c r="J65"/>
  <c r="I65"/>
  <c r="H65"/>
  <c r="G65"/>
  <c r="F65"/>
  <c r="E65"/>
  <c r="D65"/>
  <c r="C65"/>
  <c r="K64"/>
  <c r="K63"/>
  <c r="K62"/>
  <c r="K61"/>
  <c r="K60"/>
  <c r="K59"/>
  <c r="K58"/>
  <c r="K57"/>
  <c r="K56"/>
  <c r="K55"/>
  <c r="K54"/>
  <c r="K53"/>
  <c r="N53" l="1"/>
  <c r="N54"/>
  <c r="N55"/>
  <c r="N56"/>
  <c r="N57"/>
  <c r="N58"/>
  <c r="N59"/>
  <c r="N60"/>
  <c r="N61"/>
  <c r="N62"/>
  <c r="N64"/>
  <c r="K66"/>
  <c r="M62"/>
  <c r="M63"/>
  <c r="M53"/>
  <c r="M64"/>
  <c r="M54"/>
  <c r="M55"/>
  <c r="M56"/>
  <c r="M57"/>
  <c r="M58"/>
  <c r="M59"/>
  <c r="M60"/>
  <c r="M61"/>
  <c r="J46"/>
  <c r="I46"/>
  <c r="H46"/>
  <c r="G46"/>
  <c r="F46"/>
  <c r="E46"/>
  <c r="D46"/>
  <c r="C46"/>
  <c r="J45" s="1"/>
  <c r="I45" s="1"/>
  <c r="H45" s="1"/>
  <c r="G45" s="1"/>
  <c r="F45" s="1"/>
  <c r="J41"/>
  <c r="I41"/>
  <c r="H41"/>
  <c r="G41"/>
  <c r="F41"/>
  <c r="E41"/>
  <c r="J37"/>
  <c r="J51" s="1"/>
  <c r="I37"/>
  <c r="H37"/>
  <c r="G37"/>
  <c r="F37"/>
  <c r="E37"/>
  <c r="D37"/>
  <c r="D41" s="1"/>
  <c r="C37"/>
  <c r="C51" s="1"/>
  <c r="I32"/>
  <c r="I21"/>
  <c r="C41" l="1"/>
  <c r="N66"/>
  <c r="M66"/>
  <c r="M67" s="1"/>
  <c r="I64"/>
  <c r="I85" s="1"/>
  <c r="G64"/>
  <c r="G85" s="1"/>
  <c r="E64"/>
  <c r="D64" s="1"/>
  <c r="D67" s="1"/>
  <c r="J64"/>
  <c r="J67" s="1"/>
  <c r="H64"/>
  <c r="H85" s="1"/>
  <c r="F64"/>
  <c r="F85" s="1"/>
  <c r="C64"/>
  <c r="C85" s="1"/>
  <c r="I51"/>
  <c r="J71"/>
  <c r="J68"/>
  <c r="J76"/>
  <c r="H76"/>
  <c r="F76"/>
  <c r="D76"/>
  <c r="G76"/>
  <c r="E76"/>
  <c r="C76"/>
  <c r="K76" s="1"/>
  <c r="I76"/>
  <c r="I68" l="1"/>
  <c r="I67"/>
  <c r="J83"/>
  <c r="J84" s="1"/>
  <c r="E85"/>
  <c r="D85" s="1"/>
  <c r="K85" s="1"/>
  <c r="J85"/>
  <c r="J48" s="1"/>
  <c r="I48" s="1"/>
  <c r="H48" s="1"/>
  <c r="G48" s="1"/>
  <c r="F48" s="1"/>
  <c r="C67"/>
  <c r="C68" s="1"/>
  <c r="D83"/>
  <c r="H51"/>
  <c r="H68" s="1"/>
  <c r="I71"/>
  <c r="J40"/>
  <c r="I40" l="1"/>
  <c r="E48"/>
  <c r="E45" s="1"/>
  <c r="D48"/>
  <c r="H40"/>
  <c r="O66"/>
  <c r="C83"/>
  <c r="K83" s="1"/>
  <c r="H67"/>
  <c r="I83"/>
  <c r="I84" s="1"/>
  <c r="J78"/>
  <c r="J79"/>
  <c r="J47"/>
  <c r="G51"/>
  <c r="H71"/>
  <c r="C48" l="1"/>
  <c r="C45" s="1"/>
  <c r="J44" s="1"/>
  <c r="I44" s="1"/>
  <c r="H44" s="1"/>
  <c r="G44" s="1"/>
  <c r="F44" s="1"/>
  <c r="D45"/>
  <c r="I79"/>
  <c r="I78"/>
  <c r="I47"/>
  <c r="G67"/>
  <c r="G68" s="1"/>
  <c r="G40" s="1"/>
  <c r="H83"/>
  <c r="H84" s="1"/>
  <c r="F51"/>
  <c r="F68" s="1"/>
  <c r="F40" s="1"/>
  <c r="G71"/>
  <c r="H78" l="1"/>
  <c r="H79"/>
  <c r="H47"/>
  <c r="F67"/>
  <c r="G83"/>
  <c r="G84" s="1"/>
  <c r="E51"/>
  <c r="F71"/>
  <c r="G79" l="1"/>
  <c r="G47"/>
  <c r="E67"/>
  <c r="E83" s="1"/>
  <c r="F83"/>
  <c r="F84" s="1"/>
  <c r="G78"/>
  <c r="D51"/>
  <c r="D71" s="1"/>
  <c r="C71" s="1"/>
  <c r="C72" s="1"/>
  <c r="C73" s="1"/>
  <c r="C42" s="1"/>
  <c r="E71"/>
  <c r="E72" s="1"/>
  <c r="E73" s="1"/>
  <c r="E42" s="1"/>
  <c r="J72"/>
  <c r="J73" s="1"/>
  <c r="J42" s="1"/>
  <c r="I72"/>
  <c r="I73" s="1"/>
  <c r="I42" s="1"/>
  <c r="H72"/>
  <c r="H73" s="1"/>
  <c r="H42" s="1"/>
  <c r="G72"/>
  <c r="G73" s="1"/>
  <c r="G42" s="1"/>
  <c r="F72"/>
  <c r="F73" s="1"/>
  <c r="F42" s="1"/>
  <c r="E68" l="1"/>
  <c r="E40" s="1"/>
  <c r="D68"/>
  <c r="D40" s="1"/>
  <c r="C40" s="1"/>
  <c r="D72"/>
  <c r="D73" s="1"/>
  <c r="D42" s="1"/>
  <c r="E84"/>
  <c r="F79"/>
  <c r="F78"/>
  <c r="F47"/>
  <c r="D84" l="1"/>
  <c r="E79"/>
  <c r="E78"/>
  <c r="E47"/>
  <c r="E44" s="1"/>
  <c r="C84" l="1"/>
  <c r="K84" s="1"/>
  <c r="D79"/>
  <c r="D78"/>
  <c r="D47"/>
  <c r="D44" s="1"/>
  <c r="C78" l="1"/>
  <c r="K78" s="1"/>
  <c r="C79"/>
  <c r="K79" s="1"/>
  <c r="C47"/>
  <c r="C44" s="1"/>
</calcChain>
</file>

<file path=xl/sharedStrings.xml><?xml version="1.0" encoding="utf-8"?>
<sst xmlns="http://schemas.openxmlformats.org/spreadsheetml/2006/main" count="422" uniqueCount="275">
  <si>
    <t>SOLICITAÇÃO DE ORÇAMENTO</t>
  </si>
  <si>
    <t>VENDEDOR:</t>
  </si>
  <si>
    <t>DT. PEDIDO:</t>
  </si>
  <si>
    <t>CONTROLE:</t>
  </si>
  <si>
    <t>CLIENTE:</t>
  </si>
  <si>
    <t>PREV. ENTREGA.:</t>
  </si>
  <si>
    <t>PROSPECÇÃO</t>
  </si>
  <si>
    <t>CONTATO:</t>
  </si>
  <si>
    <t>PRODUTO:</t>
  </si>
  <si>
    <t>PROJETO - (PLANILHA RTM):</t>
  </si>
  <si>
    <t>LICENCIADO:</t>
  </si>
  <si>
    <t>NOTA FISCAL:</t>
  </si>
  <si>
    <t>VENDA</t>
  </si>
  <si>
    <t>%</t>
  </si>
  <si>
    <t>NF FATURA Nº:</t>
  </si>
  <si>
    <t>ORÇAMENTO GRÁFICO</t>
  </si>
  <si>
    <t>QUANTIDADE:</t>
  </si>
  <si>
    <t>FORMATO-1</t>
  </si>
  <si>
    <t>FORMATO-2</t>
  </si>
  <si>
    <t>ABERTO:</t>
  </si>
  <si>
    <t>FECHADO:</t>
  </si>
  <si>
    <t>DESCRIÇÃO</t>
  </si>
  <si>
    <t>N° DE PÁGINAS</t>
  </si>
  <si>
    <t>CORES</t>
  </si>
  <si>
    <t>PAPEL</t>
  </si>
  <si>
    <t>ACABAMENTO:</t>
  </si>
  <si>
    <t>OBSERVAÇÕES:</t>
  </si>
  <si>
    <t>RESPONSÁVEL PRODUÇÃO:</t>
  </si>
  <si>
    <t>ARTIGO:</t>
  </si>
  <si>
    <t>PROJETO:</t>
  </si>
  <si>
    <t>DIREITOS AUTORAIS NACIONAIS (PROFISSIONAIS DA SAÚDE)</t>
  </si>
  <si>
    <t>MÉDICO</t>
  </si>
  <si>
    <t>DIREITO</t>
  </si>
  <si>
    <t>TOTAL</t>
  </si>
  <si>
    <t>VALOR DA VENDA:</t>
  </si>
  <si>
    <t>PREVISÃO DE CUSTO</t>
  </si>
  <si>
    <t>UNITÁRIO (PRODUÇÃO):</t>
  </si>
  <si>
    <t>MÍNIMO TOTAL:</t>
  </si>
  <si>
    <t>MARGENS</t>
  </si>
  <si>
    <t>COM MÉDICO:</t>
  </si>
  <si>
    <t>SEM MÉDICO:</t>
  </si>
  <si>
    <t>LIBERAÇÃO:</t>
  </si>
  <si>
    <t>DIFERENÇA:</t>
  </si>
  <si>
    <t>VALOR SEM MEDICO:</t>
  </si>
  <si>
    <t>FECHADO COM CLIENTE:</t>
  </si>
  <si>
    <t>Previsto</t>
  </si>
  <si>
    <t>Realizado</t>
  </si>
  <si>
    <t>Diferença</t>
  </si>
  <si>
    <t>FORNECEDOR</t>
  </si>
  <si>
    <t>NF Nº</t>
  </si>
  <si>
    <t>TRADUÇÃO:</t>
  </si>
  <si>
    <t>REVISÃO ORTOGRÁFICA:</t>
  </si>
  <si>
    <t>REVISÃO MÉDICA:</t>
  </si>
  <si>
    <t>CRIAÇÃO:</t>
  </si>
  <si>
    <t>ILUSTRAÇÃO/ DIAGRAM:</t>
  </si>
  <si>
    <t>DIAGRAMAÇÃO:</t>
  </si>
  <si>
    <t>PAPEL:</t>
  </si>
  <si>
    <t>IMPRESSÃO:</t>
  </si>
  <si>
    <t>PAPEL/IMPRESSÃO:</t>
  </si>
  <si>
    <t>TRANSPORTE:</t>
  </si>
  <si>
    <t>OUTROS:</t>
  </si>
  <si>
    <t>DIREITOS AUTORAIS NACIONAIS:</t>
  </si>
  <si>
    <t>IMPOSTOS:</t>
  </si>
  <si>
    <t>TOTAL:</t>
  </si>
  <si>
    <t>UNITÁRIO:</t>
  </si>
  <si>
    <t>CUSTO NÃO CONSIDERANDO ESCANEAMENTO, DESENVOLVIMENTO</t>
  </si>
  <si>
    <t>PREÇO FINAL</t>
  </si>
  <si>
    <t>Mínimo Unitário:</t>
  </si>
  <si>
    <t>Mínimo Total:</t>
  </si>
  <si>
    <t>VALOR DOS DIREITOS:</t>
  </si>
  <si>
    <t>VALOR DE VENDA:</t>
  </si>
  <si>
    <t>Margem - (COM MÉDICO):</t>
  </si>
  <si>
    <t>Margem - (SEM MÉDICO):</t>
  </si>
  <si>
    <t>PROD + ADM:</t>
  </si>
  <si>
    <t>COMERCIAL:</t>
  </si>
  <si>
    <t>VALOR DE CUSTO:</t>
  </si>
  <si>
    <t>AUTORIZADO</t>
  </si>
  <si>
    <t>NOTA FISCAL</t>
  </si>
  <si>
    <t>SERVIÇO</t>
  </si>
  <si>
    <t>TIPO</t>
  </si>
  <si>
    <t>PRODUÇÃO</t>
  </si>
  <si>
    <t>ESPECIAL</t>
  </si>
  <si>
    <t>LICENCIADO</t>
  </si>
  <si>
    <t>DIREITOS(%)</t>
  </si>
  <si>
    <t>MARGEM(%)</t>
  </si>
  <si>
    <t>3B CIENTIFIC</t>
  </si>
  <si>
    <t>ACC-AHA</t>
  </si>
  <si>
    <t>ASSOCIAÇÃO DIABETES</t>
  </si>
  <si>
    <t>BC DECKER</t>
  </si>
  <si>
    <t>BREAST CANCER ORG.</t>
  </si>
  <si>
    <t>CME - Psychiatric Times</t>
  </si>
  <si>
    <t>CSF</t>
  </si>
  <si>
    <t>DRUG FARMA</t>
  </si>
  <si>
    <t>DOS PLUS</t>
  </si>
  <si>
    <t>EDICIONES MAYO</t>
  </si>
  <si>
    <t>EDIKAMED</t>
  </si>
  <si>
    <t>EDIKAMED/NEXUS</t>
  </si>
  <si>
    <t>EDIMSA - ESPANHA</t>
  </si>
  <si>
    <t>EOS - COLOMBIA</t>
  </si>
  <si>
    <t>F.A. DAVIS COMPANY</t>
  </si>
  <si>
    <t>INFORMED</t>
  </si>
  <si>
    <t>LATINCOMM</t>
  </si>
  <si>
    <t>LOCAL</t>
  </si>
  <si>
    <t>MC MAHON</t>
  </si>
  <si>
    <t>OPS/OMS</t>
  </si>
  <si>
    <t>OUTROS</t>
  </si>
  <si>
    <t xml:space="preserve">PROFESIONAL COMMUNICATIONS </t>
  </si>
  <si>
    <t>SIIC</t>
  </si>
  <si>
    <t>SPA</t>
  </si>
  <si>
    <t>PRODUTOS RTM ARGENTINA / MEXICO</t>
  </si>
  <si>
    <t>TEMIS</t>
  </si>
  <si>
    <t>CLIENTE</t>
  </si>
  <si>
    <t>3M</t>
  </si>
  <si>
    <t>Abbott</t>
  </si>
  <si>
    <t>Aché</t>
  </si>
  <si>
    <t>ACT - Actelion RJ</t>
  </si>
  <si>
    <t>Actelion RJ</t>
  </si>
  <si>
    <t>Alcon</t>
  </si>
  <si>
    <t>Allergan</t>
  </si>
  <si>
    <t>Altana Nycomed</t>
  </si>
  <si>
    <t xml:space="preserve">Apsen </t>
  </si>
  <si>
    <t>AstraZeneca</t>
  </si>
  <si>
    <t>Bagó RJ</t>
  </si>
  <si>
    <t>Baldacci</t>
  </si>
  <si>
    <t>Bausch &amp; Lomb</t>
  </si>
  <si>
    <t>Baxter</t>
  </si>
  <si>
    <t>Bayer VT</t>
  </si>
  <si>
    <t>Bayer/Schering</t>
  </si>
  <si>
    <t>Bergamo</t>
  </si>
  <si>
    <t>Biogen</t>
  </si>
  <si>
    <t>Biolab/União Quim</t>
  </si>
  <si>
    <t>BMS/Mead Johnson</t>
  </si>
  <si>
    <t>Boehringer</t>
  </si>
  <si>
    <t>Brainfarma</t>
  </si>
  <si>
    <t>Brasterápica</t>
  </si>
  <si>
    <t>Bunker</t>
  </si>
  <si>
    <t>CIMED</t>
  </si>
  <si>
    <t>CINFA</t>
  </si>
  <si>
    <t>Climax</t>
  </si>
  <si>
    <t>Colgate</t>
  </si>
  <si>
    <t>Combe</t>
  </si>
  <si>
    <t>Cristália</t>
  </si>
  <si>
    <t>Daudt RJ</t>
  </si>
  <si>
    <t>De Mayo GO</t>
  </si>
  <si>
    <t>Delta</t>
  </si>
  <si>
    <t>Divisão Veterinária</t>
  </si>
  <si>
    <t>DM</t>
  </si>
  <si>
    <t>Eli Lilly</t>
  </si>
  <si>
    <t>Eurofarma</t>
  </si>
  <si>
    <t>Eurofarma VT</t>
  </si>
  <si>
    <t>Eversil</t>
  </si>
  <si>
    <t>Evolabs</t>
  </si>
  <si>
    <t>Farmalab</t>
  </si>
  <si>
    <t>Farmasa</t>
  </si>
  <si>
    <t>FARMION</t>
  </si>
  <si>
    <t>Farmoquimica RJ</t>
  </si>
  <si>
    <t>Ferring</t>
  </si>
  <si>
    <t>Fontovit</t>
  </si>
  <si>
    <t>Fresenius</t>
  </si>
  <si>
    <t>Galderma</t>
  </si>
  <si>
    <t>Galena (Simone Bio)</t>
  </si>
  <si>
    <t>General Eletric</t>
  </si>
  <si>
    <t>Gensyme</t>
  </si>
  <si>
    <t>Geolab GO</t>
  </si>
  <si>
    <t>Glenmark</t>
  </si>
  <si>
    <t>GROSS RJ</t>
  </si>
  <si>
    <t>GSK RJ</t>
  </si>
  <si>
    <t>Gunther</t>
  </si>
  <si>
    <t>Heel</t>
  </si>
  <si>
    <t>Hepacholan</t>
  </si>
  <si>
    <t>Hypermarcas</t>
  </si>
  <si>
    <t>INQ</t>
  </si>
  <si>
    <t>Interlife</t>
  </si>
  <si>
    <t>IPCA</t>
  </si>
  <si>
    <t>Janssen-Cilag</t>
  </si>
  <si>
    <t>Johnson &amp; Johnson</t>
  </si>
  <si>
    <t>La Roche Posay RJ</t>
  </si>
  <si>
    <t>Legrand</t>
  </si>
  <si>
    <t>Libbs</t>
  </si>
  <si>
    <t>Lundbeck  RJ</t>
  </si>
  <si>
    <t>LUPER</t>
  </si>
  <si>
    <t>Mantecorp</t>
  </si>
  <si>
    <t>Marjan</t>
  </si>
  <si>
    <t>Marketing Ware</t>
  </si>
  <si>
    <t>Medley</t>
  </si>
  <si>
    <t>Meizler</t>
  </si>
  <si>
    <t>Merck/SERONO RJ</t>
  </si>
  <si>
    <t>Millet Roux RJ</t>
  </si>
  <si>
    <t>Moksha8</t>
  </si>
  <si>
    <t>MSD</t>
  </si>
  <si>
    <t>Nestlé</t>
  </si>
  <si>
    <t>Nestlé VT</t>
  </si>
  <si>
    <t>Novartis  OTC  RJ</t>
  </si>
  <si>
    <t xml:space="preserve">Novartis antiinflam </t>
  </si>
  <si>
    <t xml:space="preserve">Novartis card </t>
  </si>
  <si>
    <t xml:space="preserve">Novartis derm </t>
  </si>
  <si>
    <t xml:space="preserve">Novartis diab </t>
  </si>
  <si>
    <t xml:space="preserve">Novartis gastro </t>
  </si>
  <si>
    <t xml:space="preserve">Novartis infec </t>
  </si>
  <si>
    <t xml:space="preserve">Novartis nutr </t>
  </si>
  <si>
    <t xml:space="preserve">Novartis ofta </t>
  </si>
  <si>
    <t xml:space="preserve">Novartis onco </t>
  </si>
  <si>
    <t xml:space="preserve">Novartis osteo </t>
  </si>
  <si>
    <t xml:space="preserve">Novartis resp </t>
  </si>
  <si>
    <t xml:space="preserve">Novartis SNC </t>
  </si>
  <si>
    <t>Novartis SP</t>
  </si>
  <si>
    <t xml:space="preserve">Novartis transp </t>
  </si>
  <si>
    <t xml:space="preserve">Novartis vacinas </t>
  </si>
  <si>
    <t>Novonordisk</t>
  </si>
  <si>
    <t>Ophthalmos</t>
  </si>
  <si>
    <t>Pfizer</t>
  </si>
  <si>
    <t>Pfizer VT</t>
  </si>
  <si>
    <t>Pharmakron</t>
  </si>
  <si>
    <t>Philco</t>
  </si>
  <si>
    <t>Pierre Fabre/Darrow RJ</t>
  </si>
  <si>
    <t>Procter Gamble</t>
  </si>
  <si>
    <t>Ratiopharma</t>
  </si>
  <si>
    <t>Roche</t>
  </si>
  <si>
    <t>Royton</t>
  </si>
  <si>
    <t>Sandoz  PR</t>
  </si>
  <si>
    <t>Sankyo/Ranbaxy</t>
  </si>
  <si>
    <t>Sanofi Aventis</t>
  </si>
  <si>
    <t>Sanofi Pasteur</t>
  </si>
  <si>
    <t>Sanval</t>
  </si>
  <si>
    <t>Schering Plough</t>
  </si>
  <si>
    <t>Schering Plough VT</t>
  </si>
  <si>
    <t>Segmenta</t>
  </si>
  <si>
    <t>Servier  RJ</t>
  </si>
  <si>
    <t>Sidepal</t>
  </si>
  <si>
    <t>Siemens</t>
  </si>
  <si>
    <t>SIGMA/SEM</t>
  </si>
  <si>
    <t>Sinterápico</t>
  </si>
  <si>
    <t>SKL Pharma</t>
  </si>
  <si>
    <t>Solótica</t>
  </si>
  <si>
    <t>Solvay</t>
  </si>
  <si>
    <t>SOMA</t>
  </si>
  <si>
    <t>Stiefel</t>
  </si>
  <si>
    <t>Support</t>
  </si>
  <si>
    <t>Teuto</t>
  </si>
  <si>
    <t>Teva do Brasil</t>
  </si>
  <si>
    <t>Theraskin IGEPHARMA</t>
  </si>
  <si>
    <t>Torrent</t>
  </si>
  <si>
    <t>TRB</t>
  </si>
  <si>
    <t>UCI Pharma</t>
  </si>
  <si>
    <t>União Quimica</t>
  </si>
  <si>
    <t>União Quimica AGNER</t>
  </si>
  <si>
    <t>United Medical</t>
  </si>
  <si>
    <t>Valeant / ICN</t>
  </si>
  <si>
    <t>Wyeth Wyeth hall</t>
  </si>
  <si>
    <t>Yakult</t>
  </si>
  <si>
    <t>Zambon</t>
  </si>
  <si>
    <t>ZLB Behring</t>
  </si>
  <si>
    <t>Zodiac</t>
  </si>
  <si>
    <t>ZURITA</t>
  </si>
  <si>
    <t>Zydus-Nikko  RJ</t>
  </si>
  <si>
    <t>VENDAS</t>
  </si>
  <si>
    <t>GERÊNCIA</t>
  </si>
  <si>
    <t>MÍNIMO UNITÁRIO (VENDA):</t>
  </si>
  <si>
    <t>CADASTROS</t>
  </si>
  <si>
    <t>DESCRIÇÕES</t>
  </si>
  <si>
    <t>VALORES</t>
  </si>
  <si>
    <t>MARGEM DO LICENCIADO (%):</t>
  </si>
  <si>
    <t>RENDIMENTO DA PRODUÇÃO</t>
  </si>
  <si>
    <t>ANÁLISE FINANCEIRA</t>
  </si>
  <si>
    <t>ANÁLISE GERENCIAL</t>
  </si>
  <si>
    <t>USUARIO</t>
  </si>
  <si>
    <t>MÉDICO - ORDEM DE SERVIÇO (NUMERO)</t>
  </si>
  <si>
    <t>FECHADO COM CLIENTE (MARQUE "X"):</t>
  </si>
  <si>
    <t>CAMILA</t>
  </si>
  <si>
    <t>INDICE</t>
  </si>
  <si>
    <t>INDICE (%)</t>
  </si>
  <si>
    <t>PRODUZIDO</t>
  </si>
  <si>
    <t>FINAL</t>
  </si>
  <si>
    <t>C:\Users\Ailton\Desktop\RTM\dbOrcamentos-v02.mdb</t>
  </si>
  <si>
    <t>0</t>
  </si>
</sst>
</file>

<file path=xl/styles.xml><?xml version="1.0" encoding="utf-8"?>
<styleSheet xmlns="http://schemas.openxmlformats.org/spreadsheetml/2006/main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_);_(* \(#,##0\);_(* &quot;-&quot;??_);_(@_)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indexed="62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sz val="16"/>
      <color indexed="8"/>
      <name val="Arial"/>
      <family val="2"/>
    </font>
    <font>
      <sz val="20"/>
      <name val="Arial"/>
      <family val="2"/>
    </font>
    <font>
      <sz val="16"/>
      <color indexed="8"/>
      <name val="Arial"/>
      <family val="2"/>
    </font>
    <font>
      <b/>
      <sz val="10"/>
      <name val="Arial"/>
      <family val="2"/>
    </font>
    <font>
      <b/>
      <sz val="22"/>
      <color indexed="8"/>
      <name val="Arial"/>
      <family val="2"/>
    </font>
    <font>
      <sz val="11"/>
      <color indexed="8"/>
      <name val="Calibri"/>
      <family val="2"/>
    </font>
    <font>
      <sz val="14"/>
      <name val="Arial"/>
      <family val="2"/>
    </font>
    <font>
      <b/>
      <sz val="16"/>
      <color indexed="9"/>
      <name val="Arial"/>
      <family val="2"/>
    </font>
    <font>
      <b/>
      <sz val="14"/>
      <color indexed="18"/>
      <name val="Arial"/>
      <family val="2"/>
    </font>
    <font>
      <b/>
      <sz val="26"/>
      <name val="Arial"/>
      <family val="2"/>
    </font>
    <font>
      <sz val="16"/>
      <color indexed="8"/>
      <name val="Calibri"/>
      <family val="2"/>
    </font>
    <font>
      <b/>
      <sz val="14"/>
      <name val="Arial"/>
      <family val="2"/>
    </font>
    <font>
      <b/>
      <sz val="16"/>
      <color indexed="10"/>
      <name val="Arial"/>
      <family val="2"/>
    </font>
    <font>
      <b/>
      <sz val="14"/>
      <color indexed="62"/>
      <name val="Arial"/>
      <family val="2"/>
    </font>
    <font>
      <sz val="10"/>
      <color indexed="9"/>
      <name val="Arial"/>
      <family val="2"/>
    </font>
    <font>
      <b/>
      <sz val="14"/>
      <color indexed="9"/>
      <name val="Arial"/>
      <family val="2"/>
    </font>
    <font>
      <b/>
      <sz val="20"/>
      <name val="Arial"/>
      <family val="2"/>
    </font>
    <font>
      <b/>
      <sz val="20"/>
      <color theme="0"/>
      <name val="Arial"/>
      <family val="2"/>
    </font>
    <font>
      <b/>
      <sz val="18"/>
      <color theme="0"/>
      <name val="Arial"/>
      <family val="2"/>
    </font>
    <font>
      <u/>
      <sz val="7"/>
      <color indexed="12"/>
      <name val="Arial"/>
      <family val="2"/>
    </font>
    <font>
      <b/>
      <sz val="12"/>
      <name val="Arial"/>
      <family val="2"/>
    </font>
  </fonts>
  <fills count="19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5"/>
        <bgColor indexed="64"/>
      </patternFill>
    </fill>
    <fill>
      <patternFill patternType="darkUp"/>
    </fill>
    <fill>
      <patternFill patternType="solid">
        <fgColor indexed="5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lightUp">
        <bgColor theme="0" tint="-4.9989318521683403E-2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3" fillId="0" borderId="0"/>
    <xf numFmtId="0" fontId="12" fillId="0" borderId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0" fontId="1" fillId="0" borderId="0"/>
    <xf numFmtId="43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3">
    <xf numFmtId="0" fontId="0" fillId="0" borderId="0" xfId="0"/>
    <xf numFmtId="0" fontId="3" fillId="0" borderId="0" xfId="1" applyBorder="1"/>
    <xf numFmtId="3" fontId="7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" fillId="0" borderId="0" xfId="1" applyFill="1" applyBorder="1"/>
    <xf numFmtId="4" fontId="9" fillId="6" borderId="1" xfId="4" applyNumberFormat="1" applyFont="1" applyFill="1" applyBorder="1" applyAlignment="1" applyProtection="1">
      <alignment horizontal="center" vertical="center"/>
      <protection hidden="1"/>
    </xf>
    <xf numFmtId="0" fontId="15" fillId="6" borderId="1" xfId="1" applyFont="1" applyFill="1" applyBorder="1" applyAlignment="1" applyProtection="1">
      <alignment horizontal="center" vertical="center"/>
      <protection hidden="1"/>
    </xf>
    <xf numFmtId="0" fontId="3" fillId="0" borderId="0" xfId="1" applyFill="1"/>
    <xf numFmtId="0" fontId="5" fillId="3" borderId="1" xfId="1" applyFont="1" applyFill="1" applyBorder="1" applyAlignment="1">
      <alignment horizontal="center" vertical="top" wrapText="1"/>
    </xf>
    <xf numFmtId="0" fontId="14" fillId="5" borderId="17" xfId="1" applyFont="1" applyFill="1" applyBorder="1" applyAlignment="1">
      <alignment horizontal="center" vertical="center" wrapText="1"/>
    </xf>
    <xf numFmtId="0" fontId="14" fillId="5" borderId="18" xfId="1" applyFont="1" applyFill="1" applyBorder="1" applyAlignment="1">
      <alignment horizontal="center" vertical="center" wrapText="1"/>
    </xf>
    <xf numFmtId="0" fontId="14" fillId="5" borderId="1" xfId="1" applyFont="1" applyFill="1" applyBorder="1" applyAlignment="1">
      <alignment horizontal="center" vertical="center" wrapText="1"/>
    </xf>
    <xf numFmtId="4" fontId="17" fillId="6" borderId="4" xfId="6" applyNumberFormat="1" applyFont="1" applyFill="1" applyBorder="1" applyProtection="1">
      <protection hidden="1"/>
    </xf>
    <xf numFmtId="4" fontId="6" fillId="6" borderId="1" xfId="1" applyNumberFormat="1" applyFont="1" applyFill="1" applyBorder="1" applyProtection="1">
      <protection hidden="1"/>
    </xf>
    <xf numFmtId="10" fontId="6" fillId="6" borderId="2" xfId="1" applyNumberFormat="1" applyFont="1" applyFill="1" applyBorder="1" applyProtection="1">
      <protection hidden="1"/>
    </xf>
    <xf numFmtId="39" fontId="6" fillId="6" borderId="1" xfId="5" applyNumberFormat="1" applyFont="1" applyFill="1" applyBorder="1" applyAlignment="1" applyProtection="1">
      <alignment horizontal="center" vertical="center"/>
      <protection hidden="1"/>
    </xf>
    <xf numFmtId="4" fontId="6" fillId="6" borderId="4" xfId="1" applyNumberFormat="1" applyFont="1" applyFill="1" applyBorder="1" applyAlignment="1" applyProtection="1">
      <alignment horizontal="right"/>
      <protection hidden="1"/>
    </xf>
    <xf numFmtId="4" fontId="6" fillId="6" borderId="1" xfId="1" applyNumberFormat="1" applyFont="1" applyFill="1" applyBorder="1" applyAlignment="1" applyProtection="1">
      <alignment horizontal="right"/>
      <protection hidden="1"/>
    </xf>
    <xf numFmtId="10" fontId="6" fillId="6" borderId="1" xfId="1" applyNumberFormat="1" applyFont="1" applyFill="1" applyBorder="1" applyProtection="1">
      <protection hidden="1"/>
    </xf>
    <xf numFmtId="0" fontId="6" fillId="6" borderId="10" xfId="1" applyFont="1" applyFill="1" applyBorder="1" applyAlignment="1" applyProtection="1">
      <alignment horizontal="center"/>
      <protection hidden="1"/>
    </xf>
    <xf numFmtId="0" fontId="18" fillId="7" borderId="1" xfId="1" applyFont="1" applyFill="1" applyBorder="1" applyAlignment="1">
      <alignment horizontal="right"/>
    </xf>
    <xf numFmtId="0" fontId="6" fillId="0" borderId="0" xfId="1" applyFont="1" applyFill="1" applyBorder="1" applyAlignment="1" applyProtection="1">
      <alignment horizontal="left"/>
      <protection hidden="1"/>
    </xf>
    <xf numFmtId="0" fontId="6" fillId="0" borderId="0" xfId="1" applyFont="1" applyFill="1" applyBorder="1" applyProtection="1">
      <protection hidden="1"/>
    </xf>
    <xf numFmtId="0" fontId="3" fillId="0" borderId="0" xfId="1" applyBorder="1" applyAlignment="1">
      <alignment horizontal="left"/>
    </xf>
    <xf numFmtId="3" fontId="7" fillId="3" borderId="1" xfId="1" applyNumberFormat="1" applyFont="1" applyFill="1" applyBorder="1" applyAlignment="1" applyProtection="1">
      <alignment horizontal="center"/>
      <protection hidden="1"/>
    </xf>
    <xf numFmtId="0" fontId="5" fillId="0" borderId="0" xfId="1" applyFont="1" applyFill="1" applyBorder="1" applyAlignment="1">
      <alignment horizontal="right" vertical="center"/>
    </xf>
    <xf numFmtId="4" fontId="9" fillId="0" borderId="0" xfId="4" applyNumberFormat="1" applyFont="1" applyFill="1" applyBorder="1" applyAlignment="1">
      <alignment horizontal="center" vertical="center"/>
    </xf>
    <xf numFmtId="0" fontId="3" fillId="0" borderId="0" xfId="1" applyFill="1" applyBorder="1" applyAlignment="1">
      <alignment horizontal="left"/>
    </xf>
    <xf numFmtId="165" fontId="7" fillId="6" borderId="1" xfId="4" applyNumberFormat="1" applyFont="1" applyFill="1" applyBorder="1" applyAlignment="1" applyProtection="1">
      <alignment horizontal="center" vertical="center"/>
      <protection hidden="1"/>
    </xf>
    <xf numFmtId="0" fontId="6" fillId="0" borderId="0" xfId="1" applyFont="1" applyBorder="1" applyAlignment="1">
      <alignment horizontal="center" vertical="center"/>
    </xf>
    <xf numFmtId="43" fontId="6" fillId="0" borderId="0" xfId="7" applyFont="1" applyBorder="1" applyAlignment="1">
      <alignment horizontal="center" vertical="center"/>
    </xf>
    <xf numFmtId="165" fontId="9" fillId="6" borderId="1" xfId="4" applyNumberFormat="1" applyFont="1" applyFill="1" applyBorder="1" applyAlignment="1" applyProtection="1">
      <alignment horizontal="center" vertical="center"/>
      <protection hidden="1"/>
    </xf>
    <xf numFmtId="43" fontId="6" fillId="0" borderId="0" xfId="1" applyNumberFormat="1" applyFont="1" applyBorder="1" applyAlignment="1">
      <alignment horizontal="center" vertical="center"/>
    </xf>
    <xf numFmtId="0" fontId="3" fillId="0" borderId="0" xfId="1" applyFont="1" applyFill="1" applyBorder="1"/>
    <xf numFmtId="0" fontId="5" fillId="9" borderId="1" xfId="1" applyFont="1" applyFill="1" applyBorder="1" applyAlignment="1" applyProtection="1">
      <alignment horizontal="center"/>
      <protection hidden="1"/>
    </xf>
    <xf numFmtId="0" fontId="21" fillId="10" borderId="1" xfId="1" applyFont="1" applyFill="1" applyBorder="1" applyAlignment="1">
      <alignment horizontal="center" vertical="center"/>
    </xf>
    <xf numFmtId="0" fontId="3" fillId="0" borderId="0" xfId="1"/>
    <xf numFmtId="0" fontId="3" fillId="0" borderId="1" xfId="1" applyFill="1" applyBorder="1"/>
    <xf numFmtId="9" fontId="3" fillId="0" borderId="1" xfId="1" applyNumberFormat="1" applyFill="1" applyBorder="1" applyAlignment="1">
      <alignment horizontal="center"/>
    </xf>
    <xf numFmtId="49" fontId="21" fillId="10" borderId="1" xfId="1" applyNumberFormat="1" applyFont="1" applyFill="1" applyBorder="1" applyAlignment="1">
      <alignment horizontal="center" vertical="center"/>
    </xf>
    <xf numFmtId="0" fontId="3" fillId="0" borderId="1" xfId="1" applyFill="1" applyBorder="1" applyAlignment="1">
      <alignment horizontal="center"/>
    </xf>
    <xf numFmtId="0" fontId="3" fillId="0" borderId="0" xfId="1" applyFont="1" applyFill="1" applyBorder="1" applyAlignment="1">
      <alignment horizontal="left"/>
    </xf>
    <xf numFmtId="0" fontId="18" fillId="3" borderId="1" xfId="1" applyFont="1" applyFill="1" applyBorder="1" applyAlignment="1">
      <alignment horizontal="right"/>
    </xf>
    <xf numFmtId="0" fontId="22" fillId="5" borderId="1" xfId="1" applyFont="1" applyFill="1" applyBorder="1" applyAlignment="1">
      <alignment horizontal="right" vertical="center"/>
    </xf>
    <xf numFmtId="0" fontId="18" fillId="0" borderId="1" xfId="1" applyFont="1" applyFill="1" applyBorder="1" applyAlignment="1">
      <alignment horizontal="right" vertical="center" wrapText="1"/>
    </xf>
    <xf numFmtId="0" fontId="18" fillId="3" borderId="1" xfId="1" applyFont="1" applyFill="1" applyBorder="1" applyAlignment="1">
      <alignment horizontal="right" vertical="center"/>
    </xf>
    <xf numFmtId="49" fontId="10" fillId="0" borderId="0" xfId="1" quotePrefix="1" applyNumberFormat="1" applyFont="1" applyBorder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0" fillId="0" borderId="0" xfId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3" borderId="1" xfId="1" applyFont="1" applyFill="1" applyBorder="1" applyAlignment="1">
      <alignment horizontal="right" vertical="center"/>
    </xf>
    <xf numFmtId="0" fontId="22" fillId="5" borderId="5" xfId="1" applyFont="1" applyFill="1" applyBorder="1" applyAlignment="1">
      <alignment horizontal="center" vertical="center"/>
    </xf>
    <xf numFmtId="0" fontId="22" fillId="5" borderId="5" xfId="1" applyFont="1" applyFill="1" applyBorder="1" applyAlignment="1">
      <alignment horizontal="right" vertical="center"/>
    </xf>
    <xf numFmtId="0" fontId="22" fillId="5" borderId="8" xfId="1" applyFont="1" applyFill="1" applyBorder="1" applyAlignment="1">
      <alignment horizontal="right" vertical="center"/>
    </xf>
    <xf numFmtId="0" fontId="22" fillId="5" borderId="8" xfId="1" applyFont="1" applyFill="1" applyBorder="1" applyAlignment="1">
      <alignment horizontal="right" vertical="center" wrapText="1"/>
    </xf>
    <xf numFmtId="0" fontId="22" fillId="5" borderId="1" xfId="1" applyFont="1" applyFill="1" applyBorder="1" applyAlignment="1">
      <alignment horizontal="center" vertical="center"/>
    </xf>
    <xf numFmtId="0" fontId="13" fillId="0" borderId="1" xfId="1" applyFont="1" applyFill="1" applyBorder="1" applyAlignment="1">
      <alignment horizontal="right" vertical="center"/>
    </xf>
    <xf numFmtId="0" fontId="18" fillId="9" borderId="1" xfId="1" applyFont="1" applyFill="1" applyBorder="1" applyAlignment="1">
      <alignment horizontal="right" vertical="center" wrapText="1"/>
    </xf>
    <xf numFmtId="49" fontId="21" fillId="10" borderId="4" xfId="1" applyNumberFormat="1" applyFont="1" applyFill="1" applyBorder="1" applyAlignment="1">
      <alignment horizontal="center"/>
    </xf>
    <xf numFmtId="0" fontId="3" fillId="0" borderId="4" xfId="1" applyFont="1" applyFill="1" applyBorder="1"/>
    <xf numFmtId="0" fontId="21" fillId="10" borderId="4" xfId="1" applyFont="1" applyFill="1" applyBorder="1" applyAlignment="1">
      <alignment horizontal="center" vertical="center"/>
    </xf>
    <xf numFmtId="0" fontId="3" fillId="0" borderId="4" xfId="1" applyFill="1" applyBorder="1"/>
    <xf numFmtId="49" fontId="21" fillId="10" borderId="4" xfId="1" applyNumberFormat="1" applyFont="1" applyFill="1" applyBorder="1" applyAlignment="1">
      <alignment horizontal="center" vertical="center"/>
    </xf>
    <xf numFmtId="0" fontId="24" fillId="0" borderId="22" xfId="1" applyFont="1" applyFill="1" applyBorder="1" applyAlignment="1">
      <alignment vertical="center" textRotation="255"/>
    </xf>
    <xf numFmtId="0" fontId="6" fillId="0" borderId="0" xfId="1" applyFont="1" applyFill="1" applyBorder="1" applyAlignment="1">
      <alignment vertical="center"/>
    </xf>
    <xf numFmtId="0" fontId="13" fillId="0" borderId="0" xfId="1" applyFont="1" applyFill="1" applyBorder="1" applyAlignment="1">
      <alignment vertical="center"/>
    </xf>
    <xf numFmtId="44" fontId="23" fillId="0" borderId="0" xfId="13" applyFont="1" applyFill="1" applyBorder="1" applyAlignment="1">
      <alignment vertical="center"/>
    </xf>
    <xf numFmtId="0" fontId="22" fillId="5" borderId="1" xfId="1" applyFont="1" applyFill="1" applyBorder="1" applyAlignment="1">
      <alignment horizontal="center" vertical="center" wrapText="1"/>
    </xf>
    <xf numFmtId="0" fontId="22" fillId="5" borderId="1" xfId="1" applyFont="1" applyFill="1" applyBorder="1" applyAlignment="1">
      <alignment horizontal="right" vertical="center" wrapText="1"/>
    </xf>
    <xf numFmtId="0" fontId="22" fillId="5" borderId="1" xfId="1" applyFont="1" applyFill="1" applyBorder="1" applyAlignment="1" applyProtection="1">
      <alignment horizontal="center" vertical="center" wrapText="1"/>
    </xf>
    <xf numFmtId="0" fontId="22" fillId="5" borderId="1" xfId="1" applyFont="1" applyFill="1" applyBorder="1" applyAlignment="1">
      <alignment horizontal="right" vertical="center" wrapText="1"/>
    </xf>
    <xf numFmtId="49" fontId="10" fillId="11" borderId="1" xfId="1" applyNumberFormat="1" applyFont="1" applyFill="1" applyBorder="1" applyAlignment="1">
      <alignment horizontal="center"/>
    </xf>
    <xf numFmtId="0" fontId="18" fillId="0" borderId="1" xfId="1" applyFont="1" applyFill="1" applyBorder="1" applyAlignment="1">
      <alignment horizontal="right" vertical="center"/>
    </xf>
    <xf numFmtId="0" fontId="13" fillId="0" borderId="1" xfId="1" applyFont="1" applyFill="1" applyBorder="1" applyAlignment="1">
      <alignment horizontal="left" vertical="center"/>
    </xf>
    <xf numFmtId="0" fontId="22" fillId="5" borderId="10" xfId="1" applyFont="1" applyFill="1" applyBorder="1" applyAlignment="1">
      <alignment horizontal="right" vertical="center"/>
    </xf>
    <xf numFmtId="0" fontId="22" fillId="16" borderId="20" xfId="1" applyFont="1" applyFill="1" applyBorder="1" applyAlignment="1">
      <alignment horizontal="right" vertical="center"/>
    </xf>
    <xf numFmtId="0" fontId="22" fillId="16" borderId="24" xfId="1" applyFont="1" applyFill="1" applyBorder="1" applyAlignment="1">
      <alignment horizontal="right" vertical="center"/>
    </xf>
    <xf numFmtId="0" fontId="22" fillId="16" borderId="23" xfId="1" applyFont="1" applyFill="1" applyBorder="1" applyAlignment="1">
      <alignment horizontal="right" vertical="center"/>
    </xf>
    <xf numFmtId="0" fontId="2" fillId="0" borderId="0" xfId="0" applyFont="1" applyFill="1" applyAlignment="1">
      <alignment horizontal="center" vertical="center"/>
    </xf>
    <xf numFmtId="0" fontId="27" fillId="0" borderId="22" xfId="1" applyFont="1" applyFill="1" applyBorder="1" applyAlignment="1">
      <alignment vertical="center" textRotation="255"/>
    </xf>
    <xf numFmtId="0" fontId="3" fillId="0" borderId="0" xfId="1" applyFill="1" applyBorder="1" applyAlignment="1">
      <alignment horizontal="center"/>
    </xf>
    <xf numFmtId="49" fontId="10" fillId="0" borderId="0" xfId="1" applyNumberFormat="1" applyFont="1" applyFill="1" applyBorder="1" applyAlignment="1">
      <alignment horizontal="center"/>
    </xf>
    <xf numFmtId="0" fontId="18" fillId="11" borderId="1" xfId="1" applyFont="1" applyFill="1" applyBorder="1" applyAlignment="1" applyProtection="1">
      <alignment horizontal="center"/>
      <protection hidden="1"/>
    </xf>
    <xf numFmtId="3" fontId="5" fillId="11" borderId="1" xfId="1" applyNumberFormat="1" applyFont="1" applyFill="1" applyBorder="1" applyAlignment="1">
      <alignment horizontal="center" vertical="center" wrapText="1"/>
    </xf>
    <xf numFmtId="0" fontId="6" fillId="11" borderId="8" xfId="0" applyFont="1" applyFill="1" applyBorder="1" applyAlignment="1" applyProtection="1">
      <alignment horizontal="left"/>
    </xf>
    <xf numFmtId="4" fontId="6" fillId="11" borderId="1" xfId="1" applyNumberFormat="1" applyFont="1" applyFill="1" applyBorder="1" applyAlignment="1">
      <alignment horizontal="center" vertical="center" wrapText="1"/>
    </xf>
    <xf numFmtId="4" fontId="6" fillId="11" borderId="2" xfId="1" applyNumberFormat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top" wrapText="1"/>
    </xf>
    <xf numFmtId="4" fontId="5" fillId="11" borderId="1" xfId="1" applyNumberFormat="1" applyFont="1" applyFill="1" applyBorder="1" applyAlignment="1">
      <alignment horizontal="center" vertical="top" wrapText="1"/>
    </xf>
    <xf numFmtId="0" fontId="5" fillId="11" borderId="5" xfId="1" applyFont="1" applyFill="1" applyBorder="1" applyAlignment="1">
      <alignment horizontal="center" vertical="center"/>
    </xf>
    <xf numFmtId="0" fontId="5" fillId="11" borderId="10" xfId="1" applyFont="1" applyFill="1" applyBorder="1" applyAlignment="1" applyProtection="1">
      <alignment horizontal="left" vertical="center"/>
    </xf>
    <xf numFmtId="0" fontId="6" fillId="11" borderId="5" xfId="1" applyFont="1" applyFill="1" applyBorder="1" applyAlignment="1">
      <alignment vertical="center"/>
    </xf>
    <xf numFmtId="39" fontId="9" fillId="11" borderId="1" xfId="5" applyNumberFormat="1" applyFont="1" applyFill="1" applyBorder="1" applyAlignment="1">
      <alignment horizontal="center" vertical="center"/>
    </xf>
    <xf numFmtId="39" fontId="6" fillId="11" borderId="1" xfId="5" applyNumberFormat="1" applyFont="1" applyFill="1" applyBorder="1" applyAlignment="1" applyProtection="1">
      <alignment horizontal="center" vertical="center"/>
    </xf>
    <xf numFmtId="0" fontId="13" fillId="3" borderId="2" xfId="1" applyFont="1" applyFill="1" applyBorder="1" applyAlignment="1">
      <alignment horizontal="right" vertical="center"/>
    </xf>
    <xf numFmtId="0" fontId="22" fillId="16" borderId="17" xfId="1" applyFont="1" applyFill="1" applyBorder="1" applyAlignment="1">
      <alignment horizontal="right" vertical="center"/>
    </xf>
    <xf numFmtId="0" fontId="22" fillId="5" borderId="1" xfId="1" applyFont="1" applyFill="1" applyBorder="1" applyAlignment="1">
      <alignment horizontal="right" vertical="center" wrapText="1"/>
    </xf>
    <xf numFmtId="49" fontId="21" fillId="10" borderId="0" xfId="1" applyNumberFormat="1" applyFont="1" applyFill="1" applyBorder="1" applyAlignment="1">
      <alignment horizontal="center"/>
    </xf>
    <xf numFmtId="0" fontId="13" fillId="17" borderId="1" xfId="1" applyFont="1" applyFill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3" fillId="17" borderId="0" xfId="1" applyFont="1" applyFill="1" applyBorder="1" applyAlignment="1">
      <alignment horizontal="center" vertical="center"/>
    </xf>
    <xf numFmtId="0" fontId="3" fillId="11" borderId="0" xfId="1" applyFont="1" applyFill="1" applyBorder="1" applyAlignment="1">
      <alignment horizontal="center" vertical="center"/>
    </xf>
    <xf numFmtId="0" fontId="6" fillId="11" borderId="1" xfId="1" applyFont="1" applyFill="1" applyBorder="1"/>
    <xf numFmtId="4" fontId="6" fillId="0" borderId="0" xfId="1" applyNumberFormat="1" applyFont="1" applyFill="1" applyAlignment="1">
      <alignment horizontal="right" vertical="center"/>
    </xf>
    <xf numFmtId="4" fontId="0" fillId="11" borderId="1" xfId="0" applyNumberFormat="1" applyFill="1" applyBorder="1"/>
    <xf numFmtId="4" fontId="6" fillId="18" borderId="0" xfId="1" applyNumberFormat="1" applyFont="1" applyFill="1" applyAlignment="1">
      <alignment horizontal="right" vertical="center"/>
    </xf>
    <xf numFmtId="0" fontId="13" fillId="0" borderId="0" xfId="1" applyFont="1" applyFill="1" applyBorder="1" applyAlignment="1">
      <alignment horizontal="left" vertical="center"/>
    </xf>
    <xf numFmtId="0" fontId="13" fillId="18" borderId="1" xfId="1" applyFont="1" applyFill="1" applyBorder="1" applyAlignment="1">
      <alignment horizontal="left" vertical="center"/>
    </xf>
    <xf numFmtId="0" fontId="24" fillId="15" borderId="20" xfId="1" applyFont="1" applyFill="1" applyBorder="1" applyAlignment="1">
      <alignment horizontal="center" vertical="center" textRotation="255"/>
    </xf>
    <xf numFmtId="0" fontId="24" fillId="15" borderId="21" xfId="1" applyFont="1" applyFill="1" applyBorder="1" applyAlignment="1">
      <alignment horizontal="center" vertical="center" textRotation="255"/>
    </xf>
    <xf numFmtId="0" fontId="24" fillId="15" borderId="18" xfId="1" applyFont="1" applyFill="1" applyBorder="1" applyAlignment="1">
      <alignment horizontal="center" vertical="center" textRotation="255"/>
    </xf>
    <xf numFmtId="0" fontId="4" fillId="3" borderId="1" xfId="1" applyFont="1" applyFill="1" applyBorder="1" applyAlignment="1">
      <alignment horizontal="center" vertical="center"/>
    </xf>
    <xf numFmtId="2" fontId="5" fillId="11" borderId="2" xfId="1" applyNumberFormat="1" applyFont="1" applyFill="1" applyBorder="1" applyAlignment="1">
      <alignment horizontal="center" vertical="center"/>
    </xf>
    <xf numFmtId="2" fontId="5" fillId="11" borderId="3" xfId="1" applyNumberFormat="1" applyFont="1" applyFill="1" applyBorder="1" applyAlignment="1">
      <alignment horizontal="center" vertical="center"/>
    </xf>
    <xf numFmtId="2" fontId="5" fillId="11" borderId="4" xfId="1" applyNumberFormat="1" applyFont="1" applyFill="1" applyBorder="1" applyAlignment="1">
      <alignment horizontal="center" vertical="center"/>
    </xf>
    <xf numFmtId="14" fontId="6" fillId="11" borderId="1" xfId="1" applyNumberFormat="1" applyFont="1" applyFill="1" applyBorder="1" applyAlignment="1">
      <alignment horizontal="center" vertical="center"/>
    </xf>
    <xf numFmtId="0" fontId="6" fillId="11" borderId="2" xfId="1" applyFont="1" applyFill="1" applyBorder="1" applyAlignment="1">
      <alignment horizontal="left"/>
    </xf>
    <xf numFmtId="0" fontId="6" fillId="11" borderId="3" xfId="1" applyFont="1" applyFill="1" applyBorder="1" applyAlignment="1">
      <alignment horizontal="left"/>
    </xf>
    <xf numFmtId="0" fontId="6" fillId="11" borderId="4" xfId="1" applyFont="1" applyFill="1" applyBorder="1" applyAlignment="1">
      <alignment horizontal="left"/>
    </xf>
    <xf numFmtId="14" fontId="6" fillId="11" borderId="5" xfId="1" applyNumberFormat="1" applyFont="1" applyFill="1" applyBorder="1" applyAlignment="1">
      <alignment horizontal="center" vertical="center"/>
    </xf>
    <xf numFmtId="14" fontId="6" fillId="11" borderId="20" xfId="1" applyNumberFormat="1" applyFont="1" applyFill="1" applyBorder="1" applyAlignment="1">
      <alignment horizontal="center" vertical="center"/>
    </xf>
    <xf numFmtId="0" fontId="6" fillId="11" borderId="1" xfId="1" applyFont="1" applyFill="1" applyBorder="1" applyAlignment="1">
      <alignment horizontal="left"/>
    </xf>
    <xf numFmtId="0" fontId="6" fillId="11" borderId="1" xfId="1" applyFont="1" applyFill="1" applyBorder="1" applyAlignment="1">
      <alignment horizontal="center" vertical="center"/>
    </xf>
    <xf numFmtId="0" fontId="13" fillId="3" borderId="1" xfId="1" applyFont="1" applyFill="1" applyBorder="1" applyAlignment="1">
      <alignment horizontal="center" vertical="center"/>
    </xf>
    <xf numFmtId="0" fontId="6" fillId="11" borderId="10" xfId="1" applyFont="1" applyFill="1" applyBorder="1" applyAlignment="1">
      <alignment horizontal="center" vertical="center"/>
    </xf>
    <xf numFmtId="0" fontId="6" fillId="11" borderId="26" xfId="1" applyFont="1" applyFill="1" applyBorder="1" applyAlignment="1">
      <alignment horizontal="center" vertical="center" wrapText="1"/>
    </xf>
    <xf numFmtId="0" fontId="6" fillId="11" borderId="27" xfId="1" applyFont="1" applyFill="1" applyBorder="1" applyAlignment="1">
      <alignment horizontal="center" vertical="center"/>
    </xf>
    <xf numFmtId="0" fontId="6" fillId="11" borderId="28" xfId="1" applyFont="1" applyFill="1" applyBorder="1" applyAlignment="1">
      <alignment horizontal="center" vertical="center"/>
    </xf>
    <xf numFmtId="3" fontId="7" fillId="6" borderId="20" xfId="1" applyNumberFormat="1" applyFont="1" applyFill="1" applyBorder="1" applyAlignment="1" applyProtection="1">
      <alignment horizontal="center" vertical="center" wrapText="1"/>
      <protection hidden="1"/>
    </xf>
    <xf numFmtId="3" fontId="7" fillId="6" borderId="24" xfId="1" applyNumberFormat="1" applyFont="1" applyFill="1" applyBorder="1" applyAlignment="1" applyProtection="1">
      <alignment horizontal="center" vertical="center" wrapText="1"/>
      <protection hidden="1"/>
    </xf>
    <xf numFmtId="0" fontId="6" fillId="11" borderId="2" xfId="0" applyFont="1" applyFill="1" applyBorder="1" applyAlignment="1" applyProtection="1">
      <alignment horizontal="center"/>
    </xf>
    <xf numFmtId="0" fontId="6" fillId="11" borderId="4" xfId="0" applyFont="1" applyFill="1" applyBorder="1" applyAlignment="1" applyProtection="1">
      <alignment horizontal="center"/>
    </xf>
    <xf numFmtId="0" fontId="22" fillId="5" borderId="8" xfId="1" applyFont="1" applyFill="1" applyBorder="1" applyAlignment="1">
      <alignment horizontal="center" vertical="center" wrapText="1"/>
    </xf>
    <xf numFmtId="0" fontId="22" fillId="5" borderId="1" xfId="1" applyFont="1" applyFill="1" applyBorder="1" applyAlignment="1">
      <alignment horizontal="center" vertical="center" wrapText="1"/>
    </xf>
    <xf numFmtId="0" fontId="6" fillId="11" borderId="1" xfId="0" applyFont="1" applyFill="1" applyBorder="1" applyAlignment="1" applyProtection="1">
      <alignment horizontal="center"/>
    </xf>
    <xf numFmtId="0" fontId="5" fillId="3" borderId="1" xfId="1" applyFont="1" applyFill="1" applyBorder="1" applyAlignment="1">
      <alignment horizontal="center" vertical="center" wrapText="1"/>
    </xf>
    <xf numFmtId="0" fontId="26" fillId="2" borderId="1" xfId="1" applyFont="1" applyFill="1" applyBorder="1" applyAlignment="1" applyProtection="1">
      <alignment horizontal="right"/>
      <protection hidden="1"/>
    </xf>
    <xf numFmtId="0" fontId="5" fillId="3" borderId="6" xfId="1" applyFont="1" applyFill="1" applyBorder="1" applyAlignment="1">
      <alignment horizontal="center" vertical="center" wrapText="1"/>
    </xf>
    <xf numFmtId="0" fontId="5" fillId="3" borderId="7" xfId="1" applyFont="1" applyFill="1" applyBorder="1" applyAlignment="1">
      <alignment horizontal="center" vertical="center" wrapText="1"/>
    </xf>
    <xf numFmtId="0" fontId="9" fillId="11" borderId="1" xfId="1" applyFont="1" applyFill="1" applyBorder="1" applyAlignment="1" applyProtection="1">
      <alignment horizontal="center" vertical="center"/>
    </xf>
    <xf numFmtId="0" fontId="18" fillId="3" borderId="8" xfId="1" applyFont="1" applyFill="1" applyBorder="1" applyAlignment="1">
      <alignment horizontal="center" vertical="center"/>
    </xf>
    <xf numFmtId="0" fontId="18" fillId="3" borderId="1" xfId="1" applyFont="1" applyFill="1" applyBorder="1" applyAlignment="1">
      <alignment horizontal="center" vertical="center"/>
    </xf>
    <xf numFmtId="0" fontId="22" fillId="5" borderId="9" xfId="1" applyFont="1" applyFill="1" applyBorder="1" applyAlignment="1">
      <alignment horizontal="center" vertical="center" wrapText="1"/>
    </xf>
    <xf numFmtId="0" fontId="6" fillId="11" borderId="1" xfId="0" applyFont="1" applyFill="1" applyBorder="1" applyAlignment="1" applyProtection="1">
      <alignment vertical="top" wrapText="1"/>
    </xf>
    <xf numFmtId="0" fontId="6" fillId="11" borderId="1" xfId="0" applyFont="1" applyFill="1" applyBorder="1" applyProtection="1"/>
    <xf numFmtId="0" fontId="6" fillId="11" borderId="25" xfId="0" applyFont="1" applyFill="1" applyBorder="1" applyAlignment="1" applyProtection="1">
      <alignment vertical="top" wrapText="1"/>
    </xf>
    <xf numFmtId="0" fontId="6" fillId="11" borderId="25" xfId="0" applyFont="1" applyFill="1" applyBorder="1" applyProtection="1"/>
    <xf numFmtId="0" fontId="22" fillId="5" borderId="10" xfId="1" applyFont="1" applyFill="1" applyBorder="1" applyAlignment="1">
      <alignment horizontal="center" vertical="center" wrapText="1"/>
    </xf>
    <xf numFmtId="0" fontId="18" fillId="3" borderId="10" xfId="1" applyFont="1" applyFill="1" applyBorder="1" applyAlignment="1">
      <alignment horizontal="center" vertical="center" wrapText="1"/>
    </xf>
    <xf numFmtId="3" fontId="11" fillId="6" borderId="18" xfId="1" applyNumberFormat="1" applyFont="1" applyFill="1" applyBorder="1" applyAlignment="1" applyProtection="1">
      <alignment horizontal="center" vertical="center" wrapText="1"/>
      <protection hidden="1"/>
    </xf>
    <xf numFmtId="3" fontId="11" fillId="6" borderId="23" xfId="1" applyNumberFormat="1" applyFont="1" applyFill="1" applyBorder="1" applyAlignment="1" applyProtection="1">
      <alignment horizontal="center" vertical="center" wrapText="1"/>
      <protection hidden="1"/>
    </xf>
    <xf numFmtId="0" fontId="19" fillId="11" borderId="1" xfId="1" applyFont="1" applyFill="1" applyBorder="1" applyAlignment="1">
      <alignment horizontal="center" vertical="top" wrapText="1"/>
    </xf>
    <xf numFmtId="0" fontId="17" fillId="11" borderId="1" xfId="2" applyFont="1" applyFill="1" applyBorder="1"/>
    <xf numFmtId="0" fontId="22" fillId="5" borderId="1" xfId="1" applyFont="1" applyFill="1" applyBorder="1" applyAlignment="1">
      <alignment horizontal="right" vertical="center" wrapText="1"/>
    </xf>
    <xf numFmtId="0" fontId="6" fillId="11" borderId="1" xfId="1" applyFont="1" applyFill="1" applyBorder="1" applyAlignment="1">
      <alignment horizontal="center" vertical="top" wrapText="1"/>
    </xf>
    <xf numFmtId="0" fontId="5" fillId="3" borderId="10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horizontal="center" vertical="center" wrapText="1"/>
    </xf>
    <xf numFmtId="0" fontId="22" fillId="5" borderId="1" xfId="1" applyFont="1" applyFill="1" applyBorder="1" applyAlignment="1" applyProtection="1">
      <alignment horizontal="center" vertical="center" wrapText="1"/>
    </xf>
    <xf numFmtId="0" fontId="22" fillId="5" borderId="5" xfId="1" applyFont="1" applyFill="1" applyBorder="1" applyAlignment="1" applyProtection="1">
      <alignment horizontal="center" vertical="top" wrapText="1"/>
    </xf>
    <xf numFmtId="0" fontId="6" fillId="11" borderId="8" xfId="8" applyFont="1" applyFill="1" applyBorder="1" applyAlignment="1">
      <alignment horizontal="center" vertical="center" wrapText="1"/>
    </xf>
    <xf numFmtId="0" fontId="6" fillId="11" borderId="1" xfId="8" applyFont="1" applyFill="1" applyBorder="1" applyAlignment="1">
      <alignment horizontal="center" vertical="center" wrapText="1"/>
    </xf>
    <xf numFmtId="0" fontId="6" fillId="11" borderId="1" xfId="1" applyFont="1" applyFill="1" applyBorder="1" applyAlignment="1" applyProtection="1">
      <alignment horizontal="center" vertical="center" wrapText="1"/>
    </xf>
    <xf numFmtId="44" fontId="8" fillId="6" borderId="11" xfId="3" applyFont="1" applyFill="1" applyBorder="1" applyAlignment="1" applyProtection="1">
      <alignment horizontal="center" vertical="center" wrapText="1"/>
      <protection hidden="1"/>
    </xf>
    <xf numFmtId="44" fontId="8" fillId="6" borderId="12" xfId="3" applyFont="1" applyFill="1" applyBorder="1" applyAlignment="1" applyProtection="1">
      <alignment horizontal="center" vertical="center" wrapText="1"/>
      <protection hidden="1"/>
    </xf>
    <xf numFmtId="44" fontId="8" fillId="6" borderId="13" xfId="3" applyFont="1" applyFill="1" applyBorder="1" applyAlignment="1" applyProtection="1">
      <alignment horizontal="center" vertical="center" wrapText="1"/>
      <protection hidden="1"/>
    </xf>
    <xf numFmtId="44" fontId="8" fillId="6" borderId="14" xfId="3" applyFont="1" applyFill="1" applyBorder="1" applyAlignment="1" applyProtection="1">
      <alignment horizontal="center" vertical="center" wrapText="1"/>
      <protection hidden="1"/>
    </xf>
    <xf numFmtId="44" fontId="8" fillId="6" borderId="15" xfId="3" applyFont="1" applyFill="1" applyBorder="1" applyAlignment="1" applyProtection="1">
      <alignment horizontal="center" vertical="center" wrapText="1"/>
      <protection hidden="1"/>
    </xf>
    <xf numFmtId="44" fontId="8" fillId="6" borderId="16" xfId="3" applyFont="1" applyFill="1" applyBorder="1" applyAlignment="1" applyProtection="1">
      <alignment horizontal="center" vertical="center" wrapText="1"/>
      <protection hidden="1"/>
    </xf>
    <xf numFmtId="0" fontId="6" fillId="11" borderId="1" xfId="1" applyFont="1" applyFill="1" applyBorder="1" applyAlignment="1">
      <alignment horizontal="center" vertical="center" wrapText="1"/>
    </xf>
    <xf numFmtId="0" fontId="24" fillId="12" borderId="1" xfId="1" applyFont="1" applyFill="1" applyBorder="1" applyAlignment="1">
      <alignment horizontal="center" vertical="center" textRotation="255"/>
    </xf>
    <xf numFmtId="0" fontId="24" fillId="14" borderId="5" xfId="1" applyFont="1" applyFill="1" applyBorder="1" applyAlignment="1">
      <alignment horizontal="center" vertical="center" textRotation="255"/>
    </xf>
    <xf numFmtId="0" fontId="24" fillId="14" borderId="22" xfId="1" applyFont="1" applyFill="1" applyBorder="1" applyAlignment="1">
      <alignment horizontal="center" vertical="center" textRotation="255"/>
    </xf>
    <xf numFmtId="0" fontId="24" fillId="14" borderId="10" xfId="1" applyFont="1" applyFill="1" applyBorder="1" applyAlignment="1">
      <alignment horizontal="center" vertical="center" textRotation="255"/>
    </xf>
    <xf numFmtId="0" fontId="3" fillId="8" borderId="3" xfId="1" applyFill="1" applyBorder="1" applyAlignment="1">
      <alignment horizontal="center"/>
    </xf>
    <xf numFmtId="0" fontId="3" fillId="8" borderId="19" xfId="1" applyFill="1" applyBorder="1" applyAlignment="1">
      <alignment horizontal="center"/>
    </xf>
    <xf numFmtId="0" fontId="3" fillId="8" borderId="1" xfId="1" applyFill="1" applyBorder="1" applyAlignment="1">
      <alignment horizontal="center"/>
    </xf>
    <xf numFmtId="0" fontId="19" fillId="4" borderId="1" xfId="1" applyFont="1" applyFill="1" applyBorder="1" applyAlignment="1">
      <alignment horizontal="center" vertical="center"/>
    </xf>
    <xf numFmtId="0" fontId="20" fillId="3" borderId="1" xfId="1" applyFont="1" applyFill="1" applyBorder="1" applyAlignment="1">
      <alignment horizontal="center"/>
    </xf>
    <xf numFmtId="0" fontId="25" fillId="13" borderId="1" xfId="1" applyFont="1" applyFill="1" applyBorder="1" applyAlignment="1">
      <alignment horizontal="center" vertical="center" textRotation="255"/>
    </xf>
    <xf numFmtId="3" fontId="16" fillId="11" borderId="2" xfId="1" applyNumberFormat="1" applyFont="1" applyFill="1" applyBorder="1" applyAlignment="1" applyProtection="1">
      <alignment horizontal="center" vertical="center"/>
    </xf>
    <xf numFmtId="3" fontId="16" fillId="11" borderId="3" xfId="1" applyNumberFormat="1" applyFont="1" applyFill="1" applyBorder="1" applyAlignment="1" applyProtection="1">
      <alignment horizontal="center" vertical="center"/>
    </xf>
    <xf numFmtId="3" fontId="16" fillId="11" borderId="4" xfId="1" applyNumberFormat="1" applyFont="1" applyFill="1" applyBorder="1" applyAlignment="1" applyProtection="1">
      <alignment horizontal="center" vertical="center"/>
    </xf>
    <xf numFmtId="0" fontId="5" fillId="3" borderId="4" xfId="1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</cellXfs>
  <cellStyles count="14">
    <cellStyle name="Moeda" xfId="13" builtinId="4"/>
    <cellStyle name="Moeda 2" xfId="9"/>
    <cellStyle name="Moeda 2 2" xfId="3"/>
    <cellStyle name="Moeda_Pedido de Orçamento Roberto" xfId="5"/>
    <cellStyle name="Normal" xfId="0" builtinId="0"/>
    <cellStyle name="Normal 2" xfId="10"/>
    <cellStyle name="Normal 2 2" xfId="8"/>
    <cellStyle name="Normal 2 2_ORCAMENTOS_2011-AMBIENTE_1032" xfId="1"/>
    <cellStyle name="Normal 3" xfId="11"/>
    <cellStyle name="Normal 3_ORCAMENTOS_2011-110221_1902" xfId="2"/>
    <cellStyle name="Normal 3_ORCAMENTOS_2011-AMBIENTE_1032" xfId="6"/>
    <cellStyle name="Separador de milhares 2" xfId="12"/>
    <cellStyle name="Separador de milhares 2 2" xfId="7"/>
    <cellStyle name="Separador de milhares_Pedido de Orçamento Roberto_ORCAMENTOS_2011-AMBIENTE_1032" xfId="4"/>
  </cellStyles>
  <dxfs count="1">
    <dxf>
      <font>
        <b/>
        <i val="0"/>
      </font>
      <fill>
        <patternFill>
          <bgColor indexed="13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5"/>
  <dimension ref="A1:S277"/>
  <sheetViews>
    <sheetView tabSelected="1" zoomScale="55" zoomScaleNormal="55" zoomScaleSheetLayoutView="25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E3"/>
    </sheetView>
  </sheetViews>
  <sheetFormatPr defaultColWidth="43.140625" defaultRowHeight="15"/>
  <cols>
    <col min="1" max="1" width="9.42578125" style="48" customWidth="1"/>
    <col min="2" max="2" width="59.140625" bestFit="1" customWidth="1"/>
    <col min="3" max="9" width="24" customWidth="1"/>
    <col min="10" max="10" width="33.28515625" customWidth="1"/>
    <col min="11" max="11" width="22" bestFit="1" customWidth="1"/>
    <col min="12" max="12" width="27.85546875" bestFit="1" customWidth="1"/>
    <col min="13" max="13" width="21.28515625" bestFit="1" customWidth="1"/>
    <col min="14" max="14" width="23.7109375" customWidth="1"/>
    <col min="15" max="15" width="32" bestFit="1" customWidth="1"/>
    <col min="16" max="16" width="13.7109375" bestFit="1" customWidth="1"/>
    <col min="17" max="17" width="8" customWidth="1"/>
  </cols>
  <sheetData>
    <row r="1" spans="1:16" ht="45" customHeight="1">
      <c r="A1" s="45"/>
      <c r="B1" s="135" t="s">
        <v>273</v>
      </c>
      <c r="C1" s="135"/>
      <c r="D1" s="135"/>
      <c r="E1" s="135"/>
      <c r="F1" s="135"/>
      <c r="G1" s="135"/>
      <c r="H1" s="135"/>
      <c r="I1" s="135"/>
      <c r="J1" s="135"/>
      <c r="K1" s="1"/>
      <c r="L1" s="1"/>
      <c r="M1" s="1"/>
      <c r="N1" s="1"/>
      <c r="O1" s="1"/>
      <c r="P1" s="1"/>
    </row>
    <row r="2" spans="1:16" ht="20.25">
      <c r="A2" s="107" t="s">
        <v>255</v>
      </c>
      <c r="B2" s="110" t="s">
        <v>0</v>
      </c>
      <c r="C2" s="110"/>
      <c r="D2" s="110"/>
      <c r="E2" s="110"/>
      <c r="F2" s="110"/>
      <c r="G2" s="110"/>
      <c r="H2" s="110"/>
      <c r="I2" s="110"/>
      <c r="J2" s="110"/>
      <c r="K2" s="1"/>
      <c r="L2" s="1"/>
      <c r="M2" s="1"/>
      <c r="N2" s="1"/>
      <c r="O2" s="1"/>
      <c r="P2" s="1"/>
    </row>
    <row r="3" spans="1:16" ht="20.25">
      <c r="A3" s="108"/>
      <c r="B3" s="49" t="s">
        <v>1</v>
      </c>
      <c r="C3" s="111"/>
      <c r="D3" s="112"/>
      <c r="E3" s="113"/>
      <c r="F3" s="49" t="s">
        <v>2</v>
      </c>
      <c r="G3" s="114"/>
      <c r="H3" s="114"/>
      <c r="I3" s="51" t="s">
        <v>3</v>
      </c>
      <c r="J3" s="88"/>
      <c r="K3" s="1"/>
      <c r="L3" s="1"/>
      <c r="M3" s="1"/>
      <c r="N3" s="1"/>
      <c r="O3" s="1"/>
      <c r="P3" s="1"/>
    </row>
    <row r="4" spans="1:16" ht="20.25">
      <c r="A4" s="108"/>
      <c r="B4" s="42" t="s">
        <v>4</v>
      </c>
      <c r="C4" s="115"/>
      <c r="D4" s="116"/>
      <c r="E4" s="117"/>
      <c r="F4" s="49" t="s">
        <v>5</v>
      </c>
      <c r="G4" s="118"/>
      <c r="H4" s="119"/>
      <c r="I4" s="74"/>
      <c r="J4" s="75"/>
      <c r="K4" s="1"/>
      <c r="L4" s="1"/>
      <c r="M4" s="1"/>
      <c r="N4" s="1"/>
      <c r="O4" s="1"/>
      <c r="P4" s="1"/>
    </row>
    <row r="5" spans="1:16" ht="20.25">
      <c r="A5" s="108"/>
      <c r="B5" s="49" t="s">
        <v>7</v>
      </c>
      <c r="C5" s="120"/>
      <c r="D5" s="120"/>
      <c r="E5" s="120"/>
      <c r="F5" s="93" t="s">
        <v>8</v>
      </c>
      <c r="G5" s="121"/>
      <c r="H5" s="121"/>
      <c r="I5" s="94"/>
      <c r="J5" s="76"/>
      <c r="K5" s="1"/>
      <c r="L5" s="1"/>
      <c r="M5" s="1"/>
      <c r="N5" s="1"/>
      <c r="O5" s="1"/>
      <c r="P5" s="1"/>
    </row>
    <row r="6" spans="1:16" ht="20.25">
      <c r="A6" s="108"/>
      <c r="B6" s="122" t="s">
        <v>9</v>
      </c>
      <c r="C6" s="122"/>
      <c r="D6" s="122"/>
      <c r="E6" s="122"/>
      <c r="F6" s="42" t="s">
        <v>10</v>
      </c>
      <c r="G6" s="123"/>
      <c r="H6" s="123"/>
      <c r="I6" s="73" t="s">
        <v>11</v>
      </c>
      <c r="J6" s="89"/>
      <c r="K6" s="1"/>
      <c r="L6" s="1"/>
      <c r="M6" s="1"/>
      <c r="N6" s="1"/>
      <c r="O6" s="1"/>
      <c r="P6" s="1"/>
    </row>
    <row r="7" spans="1:16" ht="21" thickBot="1">
      <c r="A7" s="108"/>
      <c r="B7" s="124"/>
      <c r="C7" s="125"/>
      <c r="D7" s="125"/>
      <c r="E7" s="126"/>
      <c r="F7" s="50" t="s">
        <v>13</v>
      </c>
      <c r="G7" s="127">
        <f>IF($G$6&lt;&gt;"",VLOOKUP($G$6,B106:D136,2,FALSE),0)</f>
        <v>0</v>
      </c>
      <c r="H7" s="128"/>
      <c r="I7" s="51" t="s">
        <v>14</v>
      </c>
      <c r="J7" s="90"/>
      <c r="K7" s="1"/>
      <c r="L7" s="1"/>
      <c r="M7" s="1"/>
      <c r="N7" s="1"/>
      <c r="O7" s="1"/>
      <c r="P7" s="1"/>
    </row>
    <row r="8" spans="1:16" ht="20.25">
      <c r="A8" s="108"/>
      <c r="B8" s="136" t="s">
        <v>15</v>
      </c>
      <c r="C8" s="137"/>
      <c r="D8" s="137"/>
      <c r="E8" s="137"/>
      <c r="F8" s="137"/>
      <c r="G8" s="137"/>
      <c r="H8" s="137"/>
      <c r="I8" s="137"/>
      <c r="J8" s="137"/>
      <c r="K8" s="1"/>
      <c r="L8" s="1"/>
      <c r="M8" s="1"/>
      <c r="N8" s="1"/>
      <c r="O8" s="1"/>
      <c r="P8" s="1"/>
    </row>
    <row r="9" spans="1:16" ht="20.25">
      <c r="A9" s="108"/>
      <c r="B9" s="52" t="s">
        <v>16</v>
      </c>
      <c r="C9" s="82"/>
      <c r="D9" s="82"/>
      <c r="E9" s="82"/>
      <c r="F9" s="82"/>
      <c r="G9" s="82"/>
      <c r="H9" s="82"/>
      <c r="I9" s="82"/>
      <c r="J9" s="82"/>
      <c r="K9" s="1"/>
      <c r="L9" s="1"/>
      <c r="M9" s="1"/>
      <c r="N9" s="1"/>
      <c r="O9" s="1"/>
      <c r="P9" s="1"/>
    </row>
    <row r="10" spans="1:16" ht="18">
      <c r="A10" s="108"/>
      <c r="B10" s="131" t="s">
        <v>17</v>
      </c>
      <c r="C10" s="132"/>
      <c r="D10" s="132"/>
      <c r="E10" s="132"/>
      <c r="F10" s="132" t="s">
        <v>18</v>
      </c>
      <c r="G10" s="132"/>
      <c r="H10" s="132"/>
      <c r="I10" s="132"/>
      <c r="J10" s="132"/>
      <c r="K10" s="1"/>
      <c r="L10" s="1"/>
      <c r="M10" s="1"/>
      <c r="N10" s="1"/>
      <c r="O10" s="1"/>
      <c r="P10" s="1"/>
    </row>
    <row r="11" spans="1:16" ht="20.25">
      <c r="A11" s="108"/>
      <c r="B11" s="53" t="s">
        <v>19</v>
      </c>
      <c r="C11" s="133"/>
      <c r="D11" s="133"/>
      <c r="E11" s="133"/>
      <c r="F11" s="69" t="s">
        <v>19</v>
      </c>
      <c r="G11" s="138"/>
      <c r="H11" s="138"/>
      <c r="I11" s="138"/>
      <c r="J11" s="138"/>
      <c r="K11" s="1"/>
      <c r="L11" s="1"/>
      <c r="M11" s="1"/>
      <c r="N11" s="1"/>
      <c r="O11" s="1"/>
      <c r="P11" s="1"/>
    </row>
    <row r="12" spans="1:16" ht="20.25">
      <c r="A12" s="108"/>
      <c r="B12" s="53" t="s">
        <v>20</v>
      </c>
      <c r="C12" s="133"/>
      <c r="D12" s="133"/>
      <c r="E12" s="133"/>
      <c r="F12" s="69" t="s">
        <v>20</v>
      </c>
      <c r="G12" s="138"/>
      <c r="H12" s="138"/>
      <c r="I12" s="138"/>
      <c r="J12" s="138"/>
      <c r="K12" s="1"/>
      <c r="L12" s="1"/>
      <c r="M12" s="1"/>
      <c r="N12" s="1"/>
      <c r="O12" s="1"/>
      <c r="P12" s="1"/>
    </row>
    <row r="13" spans="1:16">
      <c r="A13" s="108"/>
      <c r="B13" s="139" t="s">
        <v>21</v>
      </c>
      <c r="C13" s="140" t="s">
        <v>22</v>
      </c>
      <c r="D13" s="140"/>
      <c r="E13" s="140" t="s">
        <v>23</v>
      </c>
      <c r="F13" s="140"/>
      <c r="G13" s="140" t="s">
        <v>24</v>
      </c>
      <c r="H13" s="140"/>
      <c r="I13" s="140"/>
      <c r="J13" s="140"/>
      <c r="K13" s="1"/>
      <c r="L13" s="1"/>
      <c r="M13" s="1"/>
      <c r="N13" s="1"/>
      <c r="O13" s="1"/>
      <c r="P13" s="1"/>
    </row>
    <row r="14" spans="1:16">
      <c r="A14" s="108"/>
      <c r="B14" s="139"/>
      <c r="C14" s="140"/>
      <c r="D14" s="140"/>
      <c r="E14" s="140"/>
      <c r="F14" s="140"/>
      <c r="G14" s="140"/>
      <c r="H14" s="140"/>
      <c r="I14" s="140"/>
      <c r="J14" s="140"/>
      <c r="K14" s="1"/>
      <c r="L14" s="1"/>
      <c r="M14" s="1"/>
      <c r="N14" s="1"/>
      <c r="O14" s="1"/>
      <c r="P14" s="1"/>
    </row>
    <row r="15" spans="1:16" ht="20.25">
      <c r="A15" s="108"/>
      <c r="B15" s="83"/>
      <c r="C15" s="133"/>
      <c r="D15" s="133"/>
      <c r="E15" s="129"/>
      <c r="F15" s="130"/>
      <c r="G15" s="133"/>
      <c r="H15" s="133"/>
      <c r="I15" s="133"/>
      <c r="J15" s="133"/>
      <c r="K15" s="1"/>
      <c r="L15" s="1"/>
      <c r="M15" s="1"/>
      <c r="N15" s="1"/>
      <c r="O15" s="1"/>
      <c r="P15" s="1"/>
    </row>
    <row r="16" spans="1:16" ht="20.25">
      <c r="A16" s="108"/>
      <c r="B16" s="83"/>
      <c r="C16" s="133"/>
      <c r="D16" s="133"/>
      <c r="E16" s="129"/>
      <c r="F16" s="130"/>
      <c r="G16" s="133"/>
      <c r="H16" s="133"/>
      <c r="I16" s="133"/>
      <c r="J16" s="133"/>
      <c r="K16" s="1"/>
      <c r="L16" s="1"/>
      <c r="M16" s="1"/>
      <c r="N16" s="1"/>
      <c r="O16" s="1"/>
      <c r="P16" s="1"/>
    </row>
    <row r="17" spans="1:16" ht="20.25">
      <c r="A17" s="108"/>
      <c r="B17" s="83"/>
      <c r="C17" s="133"/>
      <c r="D17" s="133"/>
      <c r="E17" s="133"/>
      <c r="F17" s="133"/>
      <c r="G17" s="133"/>
      <c r="H17" s="133"/>
      <c r="I17" s="133"/>
      <c r="J17" s="133"/>
      <c r="K17" s="1"/>
      <c r="L17" s="1"/>
      <c r="M17" s="1"/>
      <c r="N17" s="1"/>
      <c r="O17" s="1"/>
      <c r="P17" s="1"/>
    </row>
    <row r="18" spans="1:16" ht="20.25">
      <c r="A18" s="108"/>
      <c r="B18" s="83"/>
      <c r="C18" s="133"/>
      <c r="D18" s="133"/>
      <c r="E18" s="133"/>
      <c r="F18" s="133"/>
      <c r="G18" s="133"/>
      <c r="H18" s="133"/>
      <c r="I18" s="133"/>
      <c r="J18" s="133"/>
      <c r="K18" s="1"/>
      <c r="L18" s="1"/>
      <c r="M18" s="1"/>
      <c r="N18" s="1"/>
      <c r="O18" s="1"/>
      <c r="P18" s="1"/>
    </row>
    <row r="19" spans="1:16" ht="20.25">
      <c r="A19" s="108"/>
      <c r="B19" s="131" t="s">
        <v>25</v>
      </c>
      <c r="C19" s="142"/>
      <c r="D19" s="143"/>
      <c r="E19" s="143"/>
      <c r="F19" s="143"/>
      <c r="G19" s="143"/>
      <c r="H19" s="143"/>
      <c r="I19" s="143"/>
      <c r="J19" s="143"/>
      <c r="K19" s="1"/>
      <c r="L19" s="1"/>
      <c r="M19" s="1"/>
      <c r="N19" s="1"/>
      <c r="O19" s="1"/>
      <c r="P19" s="1"/>
    </row>
    <row r="20" spans="1:16" ht="21" thickBot="1">
      <c r="A20" s="108"/>
      <c r="B20" s="141"/>
      <c r="C20" s="144"/>
      <c r="D20" s="145"/>
      <c r="E20" s="145"/>
      <c r="F20" s="145"/>
      <c r="G20" s="145"/>
      <c r="H20" s="145"/>
      <c r="I20" s="145"/>
      <c r="J20" s="145"/>
      <c r="K20" s="1"/>
      <c r="L20" s="1"/>
      <c r="M20" s="1"/>
      <c r="N20" s="1"/>
      <c r="O20" s="1"/>
      <c r="P20" s="1"/>
    </row>
    <row r="21" spans="1:16" ht="27.75">
      <c r="A21" s="108"/>
      <c r="B21" s="146" t="s">
        <v>26</v>
      </c>
      <c r="C21" s="146"/>
      <c r="D21" s="146"/>
      <c r="E21" s="146"/>
      <c r="F21" s="147" t="s">
        <v>27</v>
      </c>
      <c r="G21" s="147"/>
      <c r="H21" s="147"/>
      <c r="I21" s="148" t="str">
        <f>IF(C52&lt;&gt;"",C52,"")</f>
        <v/>
      </c>
      <c r="J21" s="149"/>
      <c r="K21" s="1"/>
      <c r="L21" s="1"/>
      <c r="M21" s="1"/>
      <c r="N21" s="1"/>
      <c r="O21" s="1"/>
      <c r="P21" s="1"/>
    </row>
    <row r="22" spans="1:16">
      <c r="A22" s="108"/>
      <c r="B22" s="150"/>
      <c r="C22" s="151"/>
      <c r="D22" s="151"/>
      <c r="E22" s="151"/>
      <c r="F22" s="151"/>
      <c r="G22" s="151"/>
      <c r="H22" s="151"/>
      <c r="I22" s="151"/>
      <c r="J22" s="151"/>
      <c r="K22" s="1"/>
      <c r="L22" s="1"/>
      <c r="M22" s="1"/>
      <c r="N22" s="1"/>
      <c r="O22" s="1"/>
      <c r="P22" s="1"/>
    </row>
    <row r="23" spans="1:16">
      <c r="A23" s="108"/>
      <c r="B23" s="151"/>
      <c r="C23" s="151"/>
      <c r="D23" s="151"/>
      <c r="E23" s="151"/>
      <c r="F23" s="151"/>
      <c r="G23" s="151"/>
      <c r="H23" s="151"/>
      <c r="I23" s="151"/>
      <c r="J23" s="151"/>
      <c r="K23" s="1"/>
      <c r="L23" s="1"/>
      <c r="M23" s="1"/>
      <c r="N23" s="1"/>
      <c r="O23" s="1"/>
      <c r="P23" s="1"/>
    </row>
    <row r="24" spans="1:16">
      <c r="A24" s="108"/>
      <c r="B24" s="151"/>
      <c r="C24" s="151"/>
      <c r="D24" s="151"/>
      <c r="E24" s="151"/>
      <c r="F24" s="151"/>
      <c r="G24" s="151"/>
      <c r="H24" s="151"/>
      <c r="I24" s="151"/>
      <c r="J24" s="151"/>
      <c r="K24" s="1"/>
      <c r="L24" s="1"/>
      <c r="M24" s="1"/>
      <c r="N24" s="1"/>
      <c r="O24" s="1"/>
      <c r="P24" s="1"/>
    </row>
    <row r="25" spans="1:16">
      <c r="A25" s="108"/>
      <c r="B25" s="151"/>
      <c r="C25" s="151"/>
      <c r="D25" s="151"/>
      <c r="E25" s="151"/>
      <c r="F25" s="151"/>
      <c r="G25" s="151"/>
      <c r="H25" s="151"/>
      <c r="I25" s="151"/>
      <c r="J25" s="151"/>
      <c r="K25" s="1"/>
      <c r="L25" s="1"/>
      <c r="M25" s="1"/>
      <c r="N25" s="1"/>
      <c r="O25" s="1"/>
      <c r="P25" s="1"/>
    </row>
    <row r="26" spans="1:16">
      <c r="A26" s="108"/>
      <c r="B26" s="152" t="s">
        <v>28</v>
      </c>
      <c r="C26" s="153"/>
      <c r="D26" s="153"/>
      <c r="E26" s="153"/>
      <c r="F26" s="153"/>
      <c r="G26" s="153"/>
      <c r="H26" s="153"/>
      <c r="I26" s="153"/>
      <c r="J26" s="153"/>
      <c r="K26" s="1"/>
      <c r="L26" s="1"/>
      <c r="M26" s="1"/>
      <c r="N26" s="1"/>
      <c r="O26" s="1"/>
      <c r="P26" s="1"/>
    </row>
    <row r="27" spans="1:16">
      <c r="A27" s="108"/>
      <c r="B27" s="152"/>
      <c r="C27" s="153"/>
      <c r="D27" s="153"/>
      <c r="E27" s="153"/>
      <c r="F27" s="153"/>
      <c r="G27" s="153"/>
      <c r="H27" s="153"/>
      <c r="I27" s="153"/>
      <c r="J27" s="153"/>
      <c r="K27" s="1"/>
      <c r="L27" s="1"/>
      <c r="M27" s="1"/>
      <c r="N27" s="1"/>
      <c r="O27" s="1"/>
      <c r="P27" s="1"/>
    </row>
    <row r="28" spans="1:16">
      <c r="A28" s="108"/>
      <c r="B28" s="152" t="s">
        <v>29</v>
      </c>
      <c r="C28" s="153"/>
      <c r="D28" s="153"/>
      <c r="E28" s="153"/>
      <c r="F28" s="153"/>
      <c r="G28" s="153"/>
      <c r="H28" s="153"/>
      <c r="I28" s="153"/>
      <c r="J28" s="153"/>
      <c r="K28" s="1"/>
      <c r="L28" s="1"/>
      <c r="M28" s="1"/>
      <c r="N28" s="1"/>
      <c r="O28" s="1"/>
      <c r="P28" s="1"/>
    </row>
    <row r="29" spans="1:16">
      <c r="A29" s="108"/>
      <c r="B29" s="152"/>
      <c r="C29" s="153"/>
      <c r="D29" s="153"/>
      <c r="E29" s="153"/>
      <c r="F29" s="153"/>
      <c r="G29" s="153"/>
      <c r="H29" s="153"/>
      <c r="I29" s="153"/>
      <c r="J29" s="153"/>
      <c r="K29" s="1"/>
      <c r="L29" s="1"/>
      <c r="M29" s="1"/>
      <c r="N29" s="1"/>
      <c r="O29" s="1"/>
      <c r="P29" s="1"/>
    </row>
    <row r="30" spans="1:16" ht="18">
      <c r="A30" s="108"/>
      <c r="B30" s="155" t="s">
        <v>30</v>
      </c>
      <c r="C30" s="155"/>
      <c r="D30" s="155"/>
      <c r="E30" s="155"/>
      <c r="F30" s="155"/>
      <c r="G30" s="155"/>
      <c r="H30" s="155"/>
      <c r="I30" s="155"/>
      <c r="J30" s="155"/>
      <c r="K30" s="1"/>
      <c r="L30" s="1"/>
      <c r="M30" s="1"/>
      <c r="N30" s="1"/>
      <c r="O30" s="1"/>
      <c r="P30" s="1"/>
    </row>
    <row r="31" spans="1:16" ht="18.75" thickBot="1">
      <c r="A31" s="108"/>
      <c r="B31" s="132" t="s">
        <v>266</v>
      </c>
      <c r="C31" s="132"/>
      <c r="D31" s="66" t="s">
        <v>32</v>
      </c>
      <c r="E31" s="156" t="s">
        <v>31</v>
      </c>
      <c r="F31" s="156"/>
      <c r="G31" s="156"/>
      <c r="H31" s="68" t="s">
        <v>32</v>
      </c>
      <c r="I31" s="157" t="s">
        <v>33</v>
      </c>
      <c r="J31" s="157"/>
      <c r="K31" s="1"/>
      <c r="L31" s="1"/>
      <c r="M31" s="1"/>
      <c r="N31" s="1"/>
      <c r="O31" s="1"/>
      <c r="P31" s="1"/>
    </row>
    <row r="32" spans="1:16" ht="20.25">
      <c r="A32" s="108"/>
      <c r="B32" s="158"/>
      <c r="C32" s="159"/>
      <c r="D32" s="84"/>
      <c r="E32" s="160"/>
      <c r="F32" s="160"/>
      <c r="G32" s="160"/>
      <c r="H32" s="85"/>
      <c r="I32" s="161">
        <f>SUM(D32:D34,H32:H34)</f>
        <v>0</v>
      </c>
      <c r="J32" s="162"/>
      <c r="K32" s="1"/>
      <c r="L32" s="1"/>
      <c r="M32" s="1"/>
      <c r="N32" s="1"/>
      <c r="O32" s="1"/>
      <c r="P32" s="1"/>
    </row>
    <row r="33" spans="1:16" ht="20.25">
      <c r="A33" s="108"/>
      <c r="B33" s="167"/>
      <c r="C33" s="167"/>
      <c r="D33" s="84"/>
      <c r="E33" s="160"/>
      <c r="F33" s="160"/>
      <c r="G33" s="160"/>
      <c r="H33" s="85"/>
      <c r="I33" s="163"/>
      <c r="J33" s="164"/>
      <c r="K33" s="1"/>
      <c r="L33" s="1"/>
      <c r="M33" s="1"/>
      <c r="N33" s="1"/>
      <c r="O33" s="1"/>
      <c r="P33" s="1"/>
    </row>
    <row r="34" spans="1:16" ht="21" thickBot="1">
      <c r="A34" s="108"/>
      <c r="B34" s="167"/>
      <c r="C34" s="167"/>
      <c r="D34" s="84"/>
      <c r="E34" s="160"/>
      <c r="F34" s="160"/>
      <c r="G34" s="160"/>
      <c r="H34" s="85"/>
      <c r="I34" s="165"/>
      <c r="J34" s="166"/>
      <c r="K34" s="1"/>
      <c r="L34" s="1"/>
      <c r="M34" s="1"/>
      <c r="N34" s="1"/>
      <c r="O34" s="1"/>
      <c r="P34" s="1"/>
    </row>
    <row r="35" spans="1:16" ht="20.25">
      <c r="A35" s="108"/>
      <c r="B35" s="134" t="s">
        <v>12</v>
      </c>
      <c r="C35" s="134"/>
      <c r="D35" s="134"/>
      <c r="E35" s="134"/>
      <c r="F35" s="134"/>
      <c r="G35" s="134"/>
      <c r="H35" s="134"/>
      <c r="I35" s="154"/>
      <c r="J35" s="154"/>
      <c r="K35" s="1"/>
      <c r="L35" s="1"/>
      <c r="M35" s="1"/>
      <c r="N35" s="1"/>
      <c r="O35" s="1"/>
      <c r="P35" s="1"/>
    </row>
    <row r="36" spans="1:16" ht="20.25">
      <c r="A36" s="108"/>
      <c r="B36" s="95" t="s">
        <v>267</v>
      </c>
      <c r="C36" s="86"/>
      <c r="D36" s="86"/>
      <c r="E36" s="86"/>
      <c r="F36" s="86"/>
      <c r="G36" s="86"/>
      <c r="H36" s="86"/>
      <c r="I36" s="86"/>
      <c r="J36" s="86"/>
      <c r="K36" s="1" t="b">
        <f>IF($C$36="X",TRUE,IF($D$36="X",TRUE,IF($E$36="X",TRUE,IF($F$36="X",TRUE,IF($G$36="X",TRUE,IF($H$36="X",TRUE,IF($I$36="X",TRUE,IF($J$36="X",TRUE,FALSE))))))))</f>
        <v>0</v>
      </c>
      <c r="L36" s="1"/>
      <c r="M36" s="1"/>
      <c r="N36" s="1"/>
      <c r="O36" s="1"/>
      <c r="P36" s="1"/>
    </row>
    <row r="37" spans="1:16" ht="20.25">
      <c r="A37" s="108"/>
      <c r="B37" s="42" t="s">
        <v>16</v>
      </c>
      <c r="C37" s="2">
        <f t="shared" ref="C37:J37" si="0">C9</f>
        <v>0</v>
      </c>
      <c r="D37" s="2">
        <f t="shared" si="0"/>
        <v>0</v>
      </c>
      <c r="E37" s="2">
        <f t="shared" si="0"/>
        <v>0</v>
      </c>
      <c r="F37" s="2">
        <f t="shared" si="0"/>
        <v>0</v>
      </c>
      <c r="G37" s="2">
        <f t="shared" si="0"/>
        <v>0</v>
      </c>
      <c r="H37" s="2">
        <f t="shared" si="0"/>
        <v>0</v>
      </c>
      <c r="I37" s="2">
        <f t="shared" si="0"/>
        <v>0</v>
      </c>
      <c r="J37" s="2">
        <f t="shared" si="0"/>
        <v>0</v>
      </c>
      <c r="K37" s="1"/>
      <c r="L37" s="1"/>
      <c r="M37" s="1"/>
      <c r="N37" s="1"/>
      <c r="O37" s="1"/>
      <c r="P37" s="1"/>
    </row>
    <row r="38" spans="1:16" ht="20.25">
      <c r="A38" s="108"/>
      <c r="B38" s="67" t="s">
        <v>34</v>
      </c>
      <c r="C38" s="87"/>
      <c r="D38" s="87"/>
      <c r="E38" s="87"/>
      <c r="F38" s="87"/>
      <c r="G38" s="87"/>
      <c r="H38" s="87"/>
      <c r="I38" s="87"/>
      <c r="J38" s="87"/>
      <c r="K38" s="3"/>
      <c r="L38" s="3"/>
      <c r="M38" s="3"/>
      <c r="N38" s="3"/>
      <c r="O38" s="3"/>
      <c r="P38" s="3"/>
    </row>
    <row r="39" spans="1:16" ht="20.25">
      <c r="A39" s="108"/>
      <c r="B39" s="134" t="s">
        <v>35</v>
      </c>
      <c r="C39" s="134"/>
      <c r="D39" s="134"/>
      <c r="E39" s="134"/>
      <c r="F39" s="134"/>
      <c r="G39" s="134"/>
      <c r="H39" s="134"/>
      <c r="I39" s="134"/>
      <c r="J39" s="134"/>
      <c r="K39" s="1"/>
      <c r="L39" s="1"/>
      <c r="M39" s="1"/>
      <c r="N39" s="1"/>
      <c r="O39" s="1"/>
      <c r="P39" s="1"/>
    </row>
    <row r="40" spans="1:16" ht="20.25">
      <c r="A40" s="108"/>
      <c r="B40" s="42" t="s">
        <v>36</v>
      </c>
      <c r="C40" s="4">
        <f t="shared" ref="C40:J40" si="1">C68</f>
        <v>0</v>
      </c>
      <c r="D40" s="4">
        <f t="shared" si="1"/>
        <v>0</v>
      </c>
      <c r="E40" s="4">
        <f t="shared" si="1"/>
        <v>0</v>
      </c>
      <c r="F40" s="4">
        <f t="shared" si="1"/>
        <v>0</v>
      </c>
      <c r="G40" s="4">
        <f t="shared" si="1"/>
        <v>0</v>
      </c>
      <c r="H40" s="4">
        <f t="shared" si="1"/>
        <v>0</v>
      </c>
      <c r="I40" s="4">
        <f t="shared" si="1"/>
        <v>0</v>
      </c>
      <c r="J40" s="4">
        <f t="shared" si="1"/>
        <v>0</v>
      </c>
      <c r="K40" s="1"/>
      <c r="L40" s="1"/>
      <c r="M40" s="1"/>
      <c r="N40" s="1"/>
      <c r="O40" s="1"/>
      <c r="P40" s="1"/>
    </row>
    <row r="41" spans="1:16" ht="20.25">
      <c r="A41" s="108"/>
      <c r="B41" s="42" t="s">
        <v>257</v>
      </c>
      <c r="C41" s="4">
        <f>IF(C38&gt;0,C38/C37,0)</f>
        <v>0</v>
      </c>
      <c r="D41" s="4">
        <f t="shared" ref="D41:J41" si="2">IF(D38&gt;0,D38/D37,0)</f>
        <v>0</v>
      </c>
      <c r="E41" s="4">
        <f t="shared" si="2"/>
        <v>0</v>
      </c>
      <c r="F41" s="4">
        <f t="shared" si="2"/>
        <v>0</v>
      </c>
      <c r="G41" s="4">
        <f t="shared" si="2"/>
        <v>0</v>
      </c>
      <c r="H41" s="4">
        <f t="shared" si="2"/>
        <v>0</v>
      </c>
      <c r="I41" s="4">
        <f t="shared" si="2"/>
        <v>0</v>
      </c>
      <c r="J41" s="4">
        <f t="shared" si="2"/>
        <v>0</v>
      </c>
      <c r="K41" s="1"/>
      <c r="L41" s="1"/>
      <c r="M41" s="1"/>
      <c r="N41" s="1"/>
      <c r="O41" s="1"/>
      <c r="P41" s="1"/>
    </row>
    <row r="42" spans="1:16" ht="20.25">
      <c r="A42" s="108"/>
      <c r="B42" s="42" t="s">
        <v>37</v>
      </c>
      <c r="C42" s="4">
        <f t="shared" ref="C42:J42" si="3">C73</f>
        <v>0</v>
      </c>
      <c r="D42" s="4">
        <f t="shared" si="3"/>
        <v>0</v>
      </c>
      <c r="E42" s="4">
        <f t="shared" si="3"/>
        <v>0</v>
      </c>
      <c r="F42" s="4">
        <f t="shared" si="3"/>
        <v>0</v>
      </c>
      <c r="G42" s="4">
        <f t="shared" si="3"/>
        <v>0</v>
      </c>
      <c r="H42" s="4">
        <f t="shared" si="3"/>
        <v>0</v>
      </c>
      <c r="I42" s="4">
        <f t="shared" si="3"/>
        <v>0</v>
      </c>
      <c r="J42" s="4">
        <f t="shared" si="3"/>
        <v>0</v>
      </c>
      <c r="K42" s="1"/>
      <c r="L42" s="63"/>
      <c r="M42" s="63"/>
      <c r="N42" s="63"/>
      <c r="O42" s="1"/>
      <c r="P42" s="1"/>
    </row>
    <row r="43" spans="1:16" ht="20.25">
      <c r="A43" s="108"/>
      <c r="B43" s="134" t="s">
        <v>38</v>
      </c>
      <c r="C43" s="134"/>
      <c r="D43" s="134"/>
      <c r="E43" s="134"/>
      <c r="F43" s="134"/>
      <c r="G43" s="134"/>
      <c r="H43" s="134"/>
      <c r="I43" s="134"/>
      <c r="J43" s="134"/>
      <c r="L43" s="63"/>
      <c r="M43" s="63"/>
      <c r="N43" s="63"/>
      <c r="O43" s="1"/>
      <c r="P43" s="1"/>
    </row>
    <row r="44" spans="1:16" ht="20.25" customHeight="1">
      <c r="A44" s="108"/>
      <c r="B44" s="67" t="s">
        <v>39</v>
      </c>
      <c r="C44" s="4">
        <f t="shared" ref="C44:J44" si="4">IF(C38&gt;0,(C47/C$38)*100,0)</f>
        <v>0</v>
      </c>
      <c r="D44" s="4">
        <f t="shared" si="4"/>
        <v>0</v>
      </c>
      <c r="E44" s="4">
        <f t="shared" si="4"/>
        <v>0</v>
      </c>
      <c r="F44" s="4">
        <f t="shared" si="4"/>
        <v>0</v>
      </c>
      <c r="G44" s="4">
        <f t="shared" si="4"/>
        <v>0</v>
      </c>
      <c r="H44" s="4">
        <f t="shared" si="4"/>
        <v>0</v>
      </c>
      <c r="I44" s="4">
        <f t="shared" si="4"/>
        <v>0</v>
      </c>
      <c r="J44" s="4">
        <f t="shared" si="4"/>
        <v>0</v>
      </c>
      <c r="K44" s="1"/>
      <c r="L44" s="1"/>
      <c r="M44" s="1"/>
      <c r="N44" s="1"/>
      <c r="O44" s="1"/>
      <c r="P44" s="3"/>
    </row>
    <row r="45" spans="1:16" ht="20.25" customHeight="1">
      <c r="A45" s="109"/>
      <c r="B45" s="67" t="s">
        <v>40</v>
      </c>
      <c r="C45" s="4">
        <f t="shared" ref="C45:J45" si="5">IF(C38&gt;0,(C48/C$38)*100,0)</f>
        <v>0</v>
      </c>
      <c r="D45" s="4">
        <f t="shared" si="5"/>
        <v>0</v>
      </c>
      <c r="E45" s="4">
        <f t="shared" si="5"/>
        <v>0</v>
      </c>
      <c r="F45" s="4">
        <f t="shared" si="5"/>
        <v>0</v>
      </c>
      <c r="G45" s="4">
        <f t="shared" si="5"/>
        <v>0</v>
      </c>
      <c r="H45" s="4">
        <f t="shared" si="5"/>
        <v>0</v>
      </c>
      <c r="I45" s="4">
        <f t="shared" si="5"/>
        <v>0</v>
      </c>
      <c r="J45" s="4">
        <f t="shared" si="5"/>
        <v>0</v>
      </c>
      <c r="K45" s="1"/>
      <c r="L45" s="63"/>
      <c r="M45" s="63"/>
      <c r="N45" s="63"/>
      <c r="O45" s="1"/>
      <c r="P45" s="3"/>
    </row>
    <row r="46" spans="1:16" ht="18" customHeight="1">
      <c r="A46" s="46"/>
      <c r="B46" s="67" t="s">
        <v>41</v>
      </c>
      <c r="C46" s="5" t="str">
        <f t="shared" ref="C46:J46" si="6">IF(C86&lt;&gt;"",C86," - ")</f>
        <v xml:space="preserve"> - </v>
      </c>
      <c r="D46" s="5" t="str">
        <f t="shared" si="6"/>
        <v xml:space="preserve"> - </v>
      </c>
      <c r="E46" s="5" t="str">
        <f t="shared" si="6"/>
        <v xml:space="preserve"> - </v>
      </c>
      <c r="F46" s="5" t="str">
        <f t="shared" si="6"/>
        <v xml:space="preserve"> - </v>
      </c>
      <c r="G46" s="5" t="str">
        <f t="shared" si="6"/>
        <v xml:space="preserve"> - </v>
      </c>
      <c r="H46" s="5" t="str">
        <f t="shared" si="6"/>
        <v xml:space="preserve"> - </v>
      </c>
      <c r="I46" s="5" t="str">
        <f t="shared" si="6"/>
        <v xml:space="preserve"> - </v>
      </c>
      <c r="J46" s="5" t="str">
        <f t="shared" si="6"/>
        <v xml:space="preserve"> - </v>
      </c>
      <c r="K46" s="1"/>
      <c r="L46" s="64"/>
      <c r="M46" s="65"/>
      <c r="N46" s="65"/>
      <c r="O46" s="3"/>
      <c r="P46" s="3"/>
    </row>
    <row r="47" spans="1:16" ht="20.25" customHeight="1">
      <c r="A47" s="46"/>
      <c r="B47" s="43" t="s">
        <v>42</v>
      </c>
      <c r="C47" s="4">
        <f t="shared" ref="C47:J48" si="7">C84</f>
        <v>0</v>
      </c>
      <c r="D47" s="4">
        <f t="shared" si="7"/>
        <v>0</v>
      </c>
      <c r="E47" s="4">
        <f t="shared" si="7"/>
        <v>0</v>
      </c>
      <c r="F47" s="4">
        <f t="shared" si="7"/>
        <v>0</v>
      </c>
      <c r="G47" s="4">
        <f t="shared" si="7"/>
        <v>0</v>
      </c>
      <c r="H47" s="4">
        <f t="shared" si="7"/>
        <v>0</v>
      </c>
      <c r="I47" s="4">
        <f t="shared" si="7"/>
        <v>0</v>
      </c>
      <c r="J47" s="4">
        <f t="shared" si="7"/>
        <v>0</v>
      </c>
      <c r="K47" s="3"/>
      <c r="L47" s="64"/>
      <c r="M47" s="65"/>
      <c r="N47" s="65"/>
      <c r="O47" s="3"/>
      <c r="P47" s="3"/>
    </row>
    <row r="48" spans="1:16" ht="20.25">
      <c r="A48" s="46"/>
      <c r="B48" s="43" t="s">
        <v>43</v>
      </c>
      <c r="C48" s="4">
        <f t="shared" si="7"/>
        <v>0</v>
      </c>
      <c r="D48" s="4">
        <f t="shared" si="7"/>
        <v>0</v>
      </c>
      <c r="E48" s="4">
        <f t="shared" si="7"/>
        <v>0</v>
      </c>
      <c r="F48" s="4">
        <f t="shared" si="7"/>
        <v>0</v>
      </c>
      <c r="G48" s="4">
        <f t="shared" si="7"/>
        <v>0</v>
      </c>
      <c r="H48" s="4">
        <f t="shared" si="7"/>
        <v>0</v>
      </c>
      <c r="I48" s="4">
        <f t="shared" si="7"/>
        <v>0</v>
      </c>
      <c r="J48" s="4">
        <f t="shared" si="7"/>
        <v>0</v>
      </c>
      <c r="K48" s="3"/>
      <c r="L48" s="3"/>
      <c r="M48" s="3"/>
      <c r="N48" s="3"/>
      <c r="O48" s="3"/>
      <c r="P48" s="3"/>
    </row>
    <row r="49" spans="1:19">
      <c r="A49" s="46"/>
      <c r="B49" s="6"/>
      <c r="C49" s="6"/>
      <c r="D49" s="6"/>
      <c r="E49" s="6"/>
      <c r="F49" s="6"/>
      <c r="G49" s="6"/>
      <c r="H49" s="6"/>
      <c r="I49" s="6"/>
      <c r="J49" s="6"/>
      <c r="K49" s="3"/>
      <c r="L49" s="3"/>
      <c r="M49" s="3"/>
      <c r="N49" s="3"/>
      <c r="O49" s="3"/>
      <c r="P49" s="3"/>
    </row>
    <row r="50" spans="1:19" ht="20.25">
      <c r="A50" s="46"/>
      <c r="B50" s="134" t="s">
        <v>35</v>
      </c>
      <c r="C50" s="134"/>
      <c r="D50" s="134"/>
      <c r="E50" s="134"/>
      <c r="F50" s="134"/>
      <c r="G50" s="134"/>
      <c r="H50" s="134"/>
      <c r="I50" s="134"/>
      <c r="J50" s="134"/>
      <c r="K50" s="3"/>
      <c r="L50" s="3"/>
      <c r="M50" s="3"/>
      <c r="N50" s="3"/>
      <c r="O50" s="3"/>
      <c r="P50" s="3"/>
    </row>
    <row r="51" spans="1:19" ht="20.25">
      <c r="A51" s="168" t="s">
        <v>80</v>
      </c>
      <c r="B51" s="54" t="s">
        <v>44</v>
      </c>
      <c r="C51" s="7">
        <f t="shared" ref="C51:J51" si="8">IF(C37&lt;&gt;"",C37,"")</f>
        <v>0</v>
      </c>
      <c r="D51" s="7">
        <f t="shared" si="8"/>
        <v>0</v>
      </c>
      <c r="E51" s="7">
        <f t="shared" si="8"/>
        <v>0</v>
      </c>
      <c r="F51" s="7">
        <f t="shared" si="8"/>
        <v>0</v>
      </c>
      <c r="G51" s="7">
        <f t="shared" si="8"/>
        <v>0</v>
      </c>
      <c r="H51" s="7">
        <f t="shared" si="8"/>
        <v>0</v>
      </c>
      <c r="I51" s="7">
        <f t="shared" si="8"/>
        <v>0</v>
      </c>
      <c r="J51" s="7">
        <f t="shared" si="8"/>
        <v>0</v>
      </c>
      <c r="K51" s="181" t="s">
        <v>262</v>
      </c>
      <c r="L51" s="134"/>
      <c r="M51" s="134"/>
      <c r="N51" s="134"/>
      <c r="O51" s="134"/>
      <c r="P51" s="3"/>
      <c r="R51" s="134" t="s">
        <v>263</v>
      </c>
      <c r="S51" s="134"/>
    </row>
    <row r="52" spans="1:19" ht="33.75">
      <c r="A52" s="168"/>
      <c r="B52" s="44" t="s">
        <v>27</v>
      </c>
      <c r="C52" s="178"/>
      <c r="D52" s="179"/>
      <c r="E52" s="179"/>
      <c r="F52" s="179"/>
      <c r="G52" s="179"/>
      <c r="H52" s="179"/>
      <c r="I52" s="179"/>
      <c r="J52" s="180"/>
      <c r="K52" s="8" t="s">
        <v>45</v>
      </c>
      <c r="L52" s="9" t="s">
        <v>46</v>
      </c>
      <c r="M52" s="9" t="s">
        <v>47</v>
      </c>
      <c r="N52" s="9" t="s">
        <v>13</v>
      </c>
      <c r="O52" s="10" t="s">
        <v>48</v>
      </c>
      <c r="P52" s="10" t="s">
        <v>49</v>
      </c>
      <c r="R52" s="10" t="s">
        <v>259</v>
      </c>
      <c r="S52" s="10" t="s">
        <v>260</v>
      </c>
    </row>
    <row r="53" spans="1:19" ht="21">
      <c r="A53" s="168"/>
      <c r="B53" s="19" t="s">
        <v>50</v>
      </c>
      <c r="C53" s="91" t="s">
        <v>274</v>
      </c>
      <c r="D53" s="91" t="s">
        <v>274</v>
      </c>
      <c r="E53" s="91" t="s">
        <v>274</v>
      </c>
      <c r="F53" s="91" t="s">
        <v>274</v>
      </c>
      <c r="G53" s="91" t="s">
        <v>274</v>
      </c>
      <c r="H53" s="91" t="s">
        <v>274</v>
      </c>
      <c r="I53" s="91" t="s">
        <v>274</v>
      </c>
      <c r="J53" s="91" t="s">
        <v>274</v>
      </c>
      <c r="K53" s="11">
        <f>IF($C$36="X",C53,IF($D$36="X",D53,IF($E$36="X",E53,IF($F$36="X",F53,IF($G$36="X",G53,IF($H$36="X",H53,IF($I$36="X",I53,IF($J$36="X",J53,0))))))))</f>
        <v>0</v>
      </c>
      <c r="L53" s="91" t="s">
        <v>274</v>
      </c>
      <c r="M53" s="12">
        <f t="shared" ref="M53:M63" si="9">K53-L53</f>
        <v>0</v>
      </c>
      <c r="N53" s="13">
        <f t="shared" ref="N53:N64" si="10">IF(L$66&lt;&gt;0,(L53)/L$66,0)</f>
        <v>0</v>
      </c>
      <c r="O53" s="101"/>
      <c r="P53" s="101"/>
      <c r="R53" s="72" t="s">
        <v>69</v>
      </c>
      <c r="S53" s="103" t="s">
        <v>274</v>
      </c>
    </row>
    <row r="54" spans="1:19" ht="21">
      <c r="A54" s="168"/>
      <c r="B54" s="19" t="s">
        <v>51</v>
      </c>
      <c r="C54" s="91" t="s">
        <v>274</v>
      </c>
      <c r="D54" s="91" t="s">
        <v>274</v>
      </c>
      <c r="E54" s="91" t="s">
        <v>274</v>
      </c>
      <c r="F54" s="91" t="s">
        <v>274</v>
      </c>
      <c r="G54" s="91" t="s">
        <v>274</v>
      </c>
      <c r="H54" s="91" t="s">
        <v>274</v>
      </c>
      <c r="I54" s="91" t="s">
        <v>274</v>
      </c>
      <c r="J54" s="91" t="s">
        <v>274</v>
      </c>
      <c r="K54" s="11">
        <f t="shared" ref="K54:K64" si="11">IF($C$36="X",C54,IF($D$36="X",D54,IF($E$36="X",E54,IF($F$36="X",F54,IF($G$36="X",G54,IF($H$36="X",H54,IF($I$36="X",I54,IF($J$36="X",J54,0))))))))</f>
        <v>0</v>
      </c>
      <c r="L54" s="91" t="s">
        <v>274</v>
      </c>
      <c r="M54" s="12">
        <f t="shared" si="9"/>
        <v>0</v>
      </c>
      <c r="N54" s="13">
        <f t="shared" si="10"/>
        <v>0</v>
      </c>
      <c r="O54" s="101"/>
      <c r="P54" s="101"/>
      <c r="R54" s="72" t="s">
        <v>70</v>
      </c>
      <c r="S54" s="103" t="s">
        <v>274</v>
      </c>
    </row>
    <row r="55" spans="1:19" ht="21">
      <c r="A55" s="168"/>
      <c r="B55" s="19" t="s">
        <v>52</v>
      </c>
      <c r="C55" s="91" t="s">
        <v>274</v>
      </c>
      <c r="D55" s="91" t="s">
        <v>274</v>
      </c>
      <c r="E55" s="91" t="s">
        <v>274</v>
      </c>
      <c r="F55" s="91" t="s">
        <v>274</v>
      </c>
      <c r="G55" s="92" t="s">
        <v>274</v>
      </c>
      <c r="H55" s="92" t="s">
        <v>274</v>
      </c>
      <c r="I55" s="92" t="s">
        <v>274</v>
      </c>
      <c r="J55" s="92" t="s">
        <v>274</v>
      </c>
      <c r="K55" s="11">
        <f t="shared" si="11"/>
        <v>0</v>
      </c>
      <c r="L55" s="91" t="s">
        <v>274</v>
      </c>
      <c r="M55" s="12">
        <f t="shared" si="9"/>
        <v>0</v>
      </c>
      <c r="N55" s="13">
        <f t="shared" si="10"/>
        <v>0</v>
      </c>
      <c r="O55" s="101"/>
      <c r="P55" s="101"/>
      <c r="R55" s="106" t="s">
        <v>71</v>
      </c>
      <c r="S55" s="103" t="s">
        <v>274</v>
      </c>
    </row>
    <row r="56" spans="1:19" ht="21">
      <c r="A56" s="168"/>
      <c r="B56" s="19" t="s">
        <v>53</v>
      </c>
      <c r="C56" s="91" t="s">
        <v>274</v>
      </c>
      <c r="D56" s="91" t="s">
        <v>274</v>
      </c>
      <c r="E56" s="91" t="s">
        <v>274</v>
      </c>
      <c r="F56" s="91" t="s">
        <v>274</v>
      </c>
      <c r="G56" s="92" t="s">
        <v>274</v>
      </c>
      <c r="H56" s="92" t="s">
        <v>274</v>
      </c>
      <c r="I56" s="92" t="s">
        <v>274</v>
      </c>
      <c r="J56" s="92" t="s">
        <v>274</v>
      </c>
      <c r="K56" s="11">
        <f t="shared" si="11"/>
        <v>0</v>
      </c>
      <c r="L56" s="91" t="s">
        <v>274</v>
      </c>
      <c r="M56" s="12">
        <f t="shared" si="9"/>
        <v>0</v>
      </c>
      <c r="N56" s="13">
        <f t="shared" si="10"/>
        <v>0</v>
      </c>
      <c r="O56" s="101"/>
      <c r="P56" s="101"/>
      <c r="R56" s="106" t="s">
        <v>72</v>
      </c>
      <c r="S56" s="103" t="s">
        <v>274</v>
      </c>
    </row>
    <row r="57" spans="1:19" ht="21">
      <c r="A57" s="168"/>
      <c r="B57" s="19" t="s">
        <v>54</v>
      </c>
      <c r="C57" s="91" t="s">
        <v>274</v>
      </c>
      <c r="D57" s="91" t="s">
        <v>274</v>
      </c>
      <c r="E57" s="91" t="s">
        <v>274</v>
      </c>
      <c r="F57" s="91" t="s">
        <v>274</v>
      </c>
      <c r="G57" s="92" t="s">
        <v>274</v>
      </c>
      <c r="H57" s="92" t="s">
        <v>274</v>
      </c>
      <c r="I57" s="92" t="s">
        <v>274</v>
      </c>
      <c r="J57" s="92" t="s">
        <v>274</v>
      </c>
      <c r="K57" s="11">
        <f t="shared" si="11"/>
        <v>0</v>
      </c>
      <c r="L57" s="91" t="s">
        <v>274</v>
      </c>
      <c r="M57" s="12">
        <f t="shared" si="9"/>
        <v>0</v>
      </c>
      <c r="N57" s="13">
        <f t="shared" si="10"/>
        <v>0</v>
      </c>
      <c r="O57" s="101"/>
      <c r="P57" s="101"/>
      <c r="R57" s="72" t="s">
        <v>60</v>
      </c>
      <c r="S57" s="103" t="s">
        <v>274</v>
      </c>
    </row>
    <row r="58" spans="1:19" ht="21">
      <c r="A58" s="168"/>
      <c r="B58" s="19" t="s">
        <v>55</v>
      </c>
      <c r="C58" s="91" t="s">
        <v>274</v>
      </c>
      <c r="D58" s="91" t="s">
        <v>274</v>
      </c>
      <c r="E58" s="91" t="s">
        <v>274</v>
      </c>
      <c r="F58" s="91" t="s">
        <v>274</v>
      </c>
      <c r="G58" s="92" t="s">
        <v>274</v>
      </c>
      <c r="H58" s="92" t="s">
        <v>274</v>
      </c>
      <c r="I58" s="92" t="s">
        <v>274</v>
      </c>
      <c r="J58" s="92" t="s">
        <v>274</v>
      </c>
      <c r="K58" s="11">
        <f t="shared" si="11"/>
        <v>0</v>
      </c>
      <c r="L58" s="91" t="s">
        <v>274</v>
      </c>
      <c r="M58" s="12">
        <f t="shared" si="9"/>
        <v>0</v>
      </c>
      <c r="N58" s="13">
        <f t="shared" si="10"/>
        <v>0</v>
      </c>
      <c r="O58" s="101"/>
      <c r="P58" s="101"/>
      <c r="R58" s="72" t="s">
        <v>73</v>
      </c>
      <c r="S58" s="103" t="s">
        <v>274</v>
      </c>
    </row>
    <row r="59" spans="1:19" ht="21">
      <c r="A59" s="168"/>
      <c r="B59" s="19" t="s">
        <v>56</v>
      </c>
      <c r="C59" s="91" t="s">
        <v>274</v>
      </c>
      <c r="D59" s="91" t="s">
        <v>274</v>
      </c>
      <c r="E59" s="91" t="s">
        <v>274</v>
      </c>
      <c r="F59" s="91" t="s">
        <v>274</v>
      </c>
      <c r="G59" s="92" t="s">
        <v>274</v>
      </c>
      <c r="H59" s="92" t="s">
        <v>274</v>
      </c>
      <c r="I59" s="92" t="s">
        <v>274</v>
      </c>
      <c r="J59" s="92" t="s">
        <v>274</v>
      </c>
      <c r="K59" s="11">
        <f t="shared" si="11"/>
        <v>0</v>
      </c>
      <c r="L59" s="91" t="s">
        <v>274</v>
      </c>
      <c r="M59" s="12">
        <f t="shared" si="9"/>
        <v>0</v>
      </c>
      <c r="N59" s="13">
        <f t="shared" si="10"/>
        <v>0</v>
      </c>
      <c r="O59" s="101"/>
      <c r="P59" s="101"/>
      <c r="R59" s="72" t="s">
        <v>74</v>
      </c>
      <c r="S59" s="103" t="s">
        <v>274</v>
      </c>
    </row>
    <row r="60" spans="1:19" ht="21">
      <c r="A60" s="168"/>
      <c r="B60" s="19" t="s">
        <v>57</v>
      </c>
      <c r="C60" s="91" t="s">
        <v>274</v>
      </c>
      <c r="D60" s="91" t="s">
        <v>274</v>
      </c>
      <c r="E60" s="91" t="s">
        <v>274</v>
      </c>
      <c r="F60" s="91" t="s">
        <v>274</v>
      </c>
      <c r="G60" s="92" t="s">
        <v>274</v>
      </c>
      <c r="H60" s="92" t="s">
        <v>274</v>
      </c>
      <c r="I60" s="92" t="s">
        <v>274</v>
      </c>
      <c r="J60" s="92" t="s">
        <v>274</v>
      </c>
      <c r="K60" s="11">
        <f t="shared" si="11"/>
        <v>0</v>
      </c>
      <c r="L60" s="91" t="s">
        <v>274</v>
      </c>
      <c r="M60" s="12">
        <f t="shared" si="9"/>
        <v>0</v>
      </c>
      <c r="N60" s="13">
        <f t="shared" si="10"/>
        <v>0</v>
      </c>
      <c r="O60" s="101"/>
      <c r="P60" s="101"/>
      <c r="R60" s="72" t="s">
        <v>75</v>
      </c>
      <c r="S60" s="103" t="s">
        <v>274</v>
      </c>
    </row>
    <row r="61" spans="1:19" ht="21">
      <c r="A61" s="168"/>
      <c r="B61" s="19" t="s">
        <v>58</v>
      </c>
      <c r="C61" s="91" t="s">
        <v>274</v>
      </c>
      <c r="D61" s="91" t="s">
        <v>274</v>
      </c>
      <c r="E61" s="91" t="s">
        <v>274</v>
      </c>
      <c r="F61" s="91" t="s">
        <v>274</v>
      </c>
      <c r="G61" s="92" t="s">
        <v>274</v>
      </c>
      <c r="H61" s="92" t="s">
        <v>274</v>
      </c>
      <c r="I61" s="92" t="s">
        <v>274</v>
      </c>
      <c r="J61" s="92" t="s">
        <v>274</v>
      </c>
      <c r="K61" s="11">
        <f t="shared" si="11"/>
        <v>0</v>
      </c>
      <c r="L61" s="91" t="s">
        <v>274</v>
      </c>
      <c r="M61" s="12">
        <f t="shared" si="9"/>
        <v>0</v>
      </c>
      <c r="N61" s="13">
        <f t="shared" si="10"/>
        <v>0</v>
      </c>
      <c r="O61" s="101"/>
      <c r="P61" s="101"/>
      <c r="R61" s="72" t="s">
        <v>42</v>
      </c>
      <c r="S61" s="103" t="s">
        <v>274</v>
      </c>
    </row>
    <row r="62" spans="1:19" ht="21">
      <c r="A62" s="168"/>
      <c r="B62" s="19" t="s">
        <v>59</v>
      </c>
      <c r="C62" s="91" t="s">
        <v>274</v>
      </c>
      <c r="D62" s="91" t="s">
        <v>274</v>
      </c>
      <c r="E62" s="91" t="s">
        <v>274</v>
      </c>
      <c r="F62" s="91" t="s">
        <v>274</v>
      </c>
      <c r="G62" s="92" t="s">
        <v>274</v>
      </c>
      <c r="H62" s="92" t="s">
        <v>274</v>
      </c>
      <c r="I62" s="92" t="s">
        <v>274</v>
      </c>
      <c r="J62" s="92" t="s">
        <v>274</v>
      </c>
      <c r="K62" s="11">
        <f t="shared" si="11"/>
        <v>0</v>
      </c>
      <c r="L62" s="91" t="s">
        <v>274</v>
      </c>
      <c r="M62" s="12">
        <f t="shared" si="9"/>
        <v>0</v>
      </c>
      <c r="N62" s="13">
        <f t="shared" si="10"/>
        <v>0</v>
      </c>
      <c r="O62" s="101"/>
      <c r="P62" s="101"/>
      <c r="R62" s="72" t="s">
        <v>43</v>
      </c>
      <c r="S62" s="103" t="s">
        <v>274</v>
      </c>
    </row>
    <row r="63" spans="1:19" ht="21">
      <c r="A63" s="168"/>
      <c r="B63" s="19" t="s">
        <v>60</v>
      </c>
      <c r="C63" s="91" t="s">
        <v>274</v>
      </c>
      <c r="D63" s="91" t="s">
        <v>274</v>
      </c>
      <c r="E63" s="91" t="s">
        <v>274</v>
      </c>
      <c r="F63" s="91" t="s">
        <v>274</v>
      </c>
      <c r="G63" s="92" t="s">
        <v>274</v>
      </c>
      <c r="H63" s="92" t="s">
        <v>274</v>
      </c>
      <c r="I63" s="92" t="s">
        <v>274</v>
      </c>
      <c r="J63" s="92" t="s">
        <v>274</v>
      </c>
      <c r="K63" s="11">
        <f t="shared" si="11"/>
        <v>0</v>
      </c>
      <c r="L63" s="91" t="s">
        <v>274</v>
      </c>
      <c r="M63" s="12">
        <f t="shared" si="9"/>
        <v>0</v>
      </c>
      <c r="N63" s="13">
        <f t="shared" si="10"/>
        <v>0</v>
      </c>
      <c r="O63" s="101"/>
      <c r="P63" s="101"/>
      <c r="R63" s="105"/>
    </row>
    <row r="64" spans="1:19" ht="21">
      <c r="A64" s="46"/>
      <c r="B64" s="41" t="s">
        <v>61</v>
      </c>
      <c r="C64" s="14">
        <f t="shared" ref="C64:J64" si="12">$I$32</f>
        <v>0</v>
      </c>
      <c r="D64" s="14">
        <f t="shared" si="12"/>
        <v>0</v>
      </c>
      <c r="E64" s="14">
        <f t="shared" si="12"/>
        <v>0</v>
      </c>
      <c r="F64" s="14">
        <f t="shared" si="12"/>
        <v>0</v>
      </c>
      <c r="G64" s="14">
        <f t="shared" si="12"/>
        <v>0</v>
      </c>
      <c r="H64" s="14">
        <f t="shared" si="12"/>
        <v>0</v>
      </c>
      <c r="I64" s="14">
        <f t="shared" si="12"/>
        <v>0</v>
      </c>
      <c r="J64" s="14">
        <f t="shared" si="12"/>
        <v>0</v>
      </c>
      <c r="K64" s="11">
        <f t="shared" si="11"/>
        <v>0</v>
      </c>
      <c r="L64" s="91" t="s">
        <v>274</v>
      </c>
      <c r="M64" s="12">
        <f>K64-L64</f>
        <v>0</v>
      </c>
      <c r="N64" s="13">
        <f t="shared" si="10"/>
        <v>0</v>
      </c>
      <c r="O64" s="101"/>
      <c r="P64" s="101"/>
    </row>
    <row r="65" spans="1:19" ht="20.25">
      <c r="A65" s="46"/>
      <c r="B65" s="41" t="s">
        <v>62</v>
      </c>
      <c r="C65" s="14">
        <f t="shared" ref="C65:J65" si="13">C38*(IF($J$6&lt;&gt;"",VLOOKUP($J$6,$B$101:$C$102,2,FALSE),0))</f>
        <v>0</v>
      </c>
      <c r="D65" s="14">
        <f t="shared" si="13"/>
        <v>0</v>
      </c>
      <c r="E65" s="14">
        <f t="shared" si="13"/>
        <v>0</v>
      </c>
      <c r="F65" s="14">
        <f t="shared" si="13"/>
        <v>0</v>
      </c>
      <c r="G65" s="14">
        <f t="shared" si="13"/>
        <v>0</v>
      </c>
      <c r="H65" s="14">
        <f t="shared" si="13"/>
        <v>0</v>
      </c>
      <c r="I65" s="14">
        <f t="shared" si="13"/>
        <v>0</v>
      </c>
      <c r="J65" s="14">
        <f t="shared" si="13"/>
        <v>0</v>
      </c>
      <c r="K65" s="172"/>
      <c r="L65" s="172"/>
      <c r="M65" s="172"/>
      <c r="N65" s="172"/>
      <c r="O65" s="172"/>
      <c r="P65" s="173"/>
    </row>
    <row r="66" spans="1:19" ht="20.25">
      <c r="A66" s="46"/>
      <c r="B66" s="174"/>
      <c r="C66" s="174"/>
      <c r="D66" s="174"/>
      <c r="E66" s="174"/>
      <c r="F66" s="174"/>
      <c r="G66" s="174"/>
      <c r="H66" s="174"/>
      <c r="I66" s="174"/>
      <c r="J66" s="174"/>
      <c r="K66" s="15">
        <f>SUM(K53:K65)</f>
        <v>0</v>
      </c>
      <c r="L66" s="16">
        <f>SUM(L53:L65)</f>
        <v>0</v>
      </c>
      <c r="M66" s="16">
        <f>SUM(M53:M65)</f>
        <v>0</v>
      </c>
      <c r="N66" s="17">
        <f>SUM(N53:N65)</f>
        <v>0</v>
      </c>
      <c r="O66" s="18">
        <f>M66/100*2</f>
        <v>0</v>
      </c>
      <c r="P66" s="3"/>
    </row>
    <row r="67" spans="1:19" ht="20.25">
      <c r="A67" s="46"/>
      <c r="B67" s="19" t="s">
        <v>63</v>
      </c>
      <c r="C67" s="14">
        <f t="shared" ref="C67:J67" si="14">SUM(C53:C64)</f>
        <v>0</v>
      </c>
      <c r="D67" s="14">
        <f t="shared" si="14"/>
        <v>0</v>
      </c>
      <c r="E67" s="14">
        <f t="shared" si="14"/>
        <v>0</v>
      </c>
      <c r="F67" s="14">
        <f t="shared" si="14"/>
        <v>0</v>
      </c>
      <c r="G67" s="14">
        <f t="shared" si="14"/>
        <v>0</v>
      </c>
      <c r="H67" s="14">
        <f t="shared" si="14"/>
        <v>0</v>
      </c>
      <c r="I67" s="14">
        <f t="shared" si="14"/>
        <v>0</v>
      </c>
      <c r="J67" s="14">
        <f t="shared" si="14"/>
        <v>0</v>
      </c>
      <c r="K67" s="20"/>
      <c r="L67" s="21"/>
      <c r="M67" s="17">
        <f>IF(K66&lt;&gt;0,M66/K66,0)</f>
        <v>0</v>
      </c>
      <c r="N67" s="21"/>
      <c r="O67" s="21"/>
      <c r="P67" s="3"/>
    </row>
    <row r="68" spans="1:19" ht="20.25">
      <c r="A68" s="46"/>
      <c r="B68" s="19" t="s">
        <v>64</v>
      </c>
      <c r="C68" s="14">
        <f t="shared" ref="C68:J68" si="15">IF(C51&gt;0,C67/C51,0)</f>
        <v>0</v>
      </c>
      <c r="D68" s="14">
        <f t="shared" si="15"/>
        <v>0</v>
      </c>
      <c r="E68" s="14">
        <f t="shared" si="15"/>
        <v>0</v>
      </c>
      <c r="F68" s="14">
        <f t="shared" si="15"/>
        <v>0</v>
      </c>
      <c r="G68" s="14">
        <f t="shared" si="15"/>
        <v>0</v>
      </c>
      <c r="H68" s="14">
        <f t="shared" si="15"/>
        <v>0</v>
      </c>
      <c r="I68" s="14">
        <f t="shared" si="15"/>
        <v>0</v>
      </c>
      <c r="J68" s="14">
        <f t="shared" si="15"/>
        <v>0</v>
      </c>
      <c r="K68" s="22"/>
      <c r="L68" s="1"/>
      <c r="M68" s="1"/>
      <c r="N68" s="1"/>
      <c r="O68" s="1"/>
      <c r="P68" s="3"/>
    </row>
    <row r="69" spans="1:19" ht="20.25">
      <c r="A69" s="46"/>
      <c r="B69" s="175" t="s">
        <v>65</v>
      </c>
      <c r="C69" s="175"/>
      <c r="D69" s="175"/>
      <c r="E69" s="175"/>
      <c r="F69" s="175"/>
      <c r="G69" s="175"/>
      <c r="H69" s="175"/>
      <c r="I69" s="175"/>
      <c r="J69" s="175"/>
      <c r="K69" s="22"/>
      <c r="L69" s="1"/>
      <c r="M69" s="1"/>
      <c r="N69" s="1"/>
      <c r="O69" s="1"/>
      <c r="P69" s="3"/>
    </row>
    <row r="70" spans="1:19" ht="18">
      <c r="A70" s="46"/>
      <c r="B70" s="176" t="s">
        <v>66</v>
      </c>
      <c r="C70" s="176"/>
      <c r="D70" s="176"/>
      <c r="E70" s="176"/>
      <c r="F70" s="176"/>
      <c r="G70" s="176"/>
      <c r="H70" s="176"/>
      <c r="I70" s="176"/>
      <c r="J70" s="176"/>
      <c r="K70" s="22"/>
      <c r="L70" s="1"/>
      <c r="M70" s="1"/>
      <c r="N70" s="1"/>
      <c r="O70" s="1"/>
      <c r="P70" s="3"/>
    </row>
    <row r="71" spans="1:19" ht="20.25">
      <c r="A71" s="46"/>
      <c r="B71" s="44" t="str">
        <f t="shared" ref="B71:J71" si="16">B51</f>
        <v>FECHADO COM CLIENTE:</v>
      </c>
      <c r="C71" s="23">
        <f t="shared" si="16"/>
        <v>0</v>
      </c>
      <c r="D71" s="23">
        <f t="shared" si="16"/>
        <v>0</v>
      </c>
      <c r="E71" s="23">
        <f t="shared" si="16"/>
        <v>0</v>
      </c>
      <c r="F71" s="23">
        <f t="shared" si="16"/>
        <v>0</v>
      </c>
      <c r="G71" s="23">
        <f t="shared" si="16"/>
        <v>0</v>
      </c>
      <c r="H71" s="23">
        <f t="shared" si="16"/>
        <v>0</v>
      </c>
      <c r="I71" s="23">
        <f t="shared" si="16"/>
        <v>0</v>
      </c>
      <c r="J71" s="23">
        <f t="shared" si="16"/>
        <v>0</v>
      </c>
      <c r="K71" s="22"/>
      <c r="L71" s="1"/>
      <c r="M71" s="1"/>
      <c r="N71" s="1"/>
      <c r="O71" s="1"/>
      <c r="P71" s="3"/>
    </row>
    <row r="72" spans="1:19" ht="20.25">
      <c r="A72" s="46"/>
      <c r="B72" s="44" t="s">
        <v>67</v>
      </c>
      <c r="C72" s="4">
        <f>IF(C71&gt;0,C77/C71,0)</f>
        <v>0</v>
      </c>
      <c r="D72" s="4">
        <f t="shared" ref="D72:J72" si="17">IF(D71&gt;0,D77/D71,0)</f>
        <v>0</v>
      </c>
      <c r="E72" s="4">
        <f t="shared" si="17"/>
        <v>0</v>
      </c>
      <c r="F72" s="4">
        <f t="shared" si="17"/>
        <v>0</v>
      </c>
      <c r="G72" s="4">
        <f t="shared" si="17"/>
        <v>0</v>
      </c>
      <c r="H72" s="4">
        <f t="shared" si="17"/>
        <v>0</v>
      </c>
      <c r="I72" s="4">
        <f t="shared" si="17"/>
        <v>0</v>
      </c>
      <c r="J72" s="4">
        <f t="shared" si="17"/>
        <v>0</v>
      </c>
      <c r="K72" s="22"/>
      <c r="L72" s="1"/>
      <c r="M72" s="1"/>
      <c r="N72" s="1"/>
      <c r="O72" s="1"/>
      <c r="P72" s="3"/>
    </row>
    <row r="73" spans="1:19" ht="20.25">
      <c r="A73" s="46"/>
      <c r="B73" s="44" t="s">
        <v>68</v>
      </c>
      <c r="C73" s="4">
        <f t="shared" ref="C73:J73" si="18">C72*C71</f>
        <v>0</v>
      </c>
      <c r="D73" s="4">
        <f t="shared" si="18"/>
        <v>0</v>
      </c>
      <c r="E73" s="4">
        <f t="shared" si="18"/>
        <v>0</v>
      </c>
      <c r="F73" s="4">
        <f t="shared" si="18"/>
        <v>0</v>
      </c>
      <c r="G73" s="4">
        <f t="shared" si="18"/>
        <v>0</v>
      </c>
      <c r="H73" s="4">
        <f t="shared" si="18"/>
        <v>0</v>
      </c>
      <c r="I73" s="4">
        <f t="shared" si="18"/>
        <v>0</v>
      </c>
      <c r="J73" s="4">
        <f t="shared" si="18"/>
        <v>0</v>
      </c>
      <c r="K73" s="22"/>
      <c r="L73" s="1"/>
      <c r="M73" s="1"/>
      <c r="N73" s="1"/>
      <c r="O73" s="1"/>
      <c r="P73" s="3"/>
    </row>
    <row r="74" spans="1:19" ht="20.25">
      <c r="A74" s="46"/>
      <c r="B74" s="24"/>
      <c r="C74" s="25"/>
      <c r="D74" s="25"/>
      <c r="E74" s="25"/>
      <c r="F74" s="25"/>
      <c r="G74" s="25"/>
      <c r="H74" s="25"/>
      <c r="I74" s="25"/>
      <c r="J74" s="25"/>
      <c r="K74" s="26"/>
      <c r="L74" s="3"/>
      <c r="M74" s="3"/>
      <c r="N74" s="3"/>
      <c r="O74" s="3"/>
      <c r="P74" s="3"/>
    </row>
    <row r="75" spans="1:19" ht="20.25">
      <c r="A75" s="47"/>
      <c r="B75" s="134" t="s">
        <v>264</v>
      </c>
      <c r="C75" s="134"/>
      <c r="D75" s="134"/>
      <c r="E75" s="134"/>
      <c r="F75" s="134"/>
      <c r="G75" s="134"/>
      <c r="H75" s="134"/>
      <c r="I75" s="134"/>
      <c r="J75" s="134"/>
      <c r="K75" s="99" t="s">
        <v>271</v>
      </c>
      <c r="L75" s="100" t="s">
        <v>272</v>
      </c>
      <c r="M75" s="1"/>
      <c r="N75" s="1"/>
      <c r="O75" s="1"/>
      <c r="P75" s="1"/>
    </row>
    <row r="76" spans="1:19" ht="20.25">
      <c r="A76" s="177" t="s">
        <v>256</v>
      </c>
      <c r="B76" s="55" t="s">
        <v>69</v>
      </c>
      <c r="C76" s="27">
        <f t="shared" ref="C76:J76" si="19">C77*$G$7%</f>
        <v>0</v>
      </c>
      <c r="D76" s="27">
        <f t="shared" si="19"/>
        <v>0</v>
      </c>
      <c r="E76" s="27">
        <f t="shared" si="19"/>
        <v>0</v>
      </c>
      <c r="F76" s="27">
        <f t="shared" si="19"/>
        <v>0</v>
      </c>
      <c r="G76" s="27">
        <f t="shared" si="19"/>
        <v>0</v>
      </c>
      <c r="H76" s="27">
        <f t="shared" si="19"/>
        <v>0</v>
      </c>
      <c r="I76" s="27">
        <f t="shared" si="19"/>
        <v>0</v>
      </c>
      <c r="J76" s="27">
        <f t="shared" si="19"/>
        <v>0</v>
      </c>
      <c r="K76" s="102">
        <f>IF($C$36="X",C76,IF($D$36="X",D76,IF($E$36="X",E76,IF($F$36="X",F76,IF($G$36="X",G76,IF($H$36="X",H76,IF($I$36="X",I76,IF($J$36="X",J76,0))))))))</f>
        <v>0</v>
      </c>
      <c r="L76" s="102"/>
      <c r="M76" s="28"/>
      <c r="N76" s="28"/>
      <c r="O76" s="28"/>
      <c r="P76" s="28"/>
    </row>
    <row r="77" spans="1:19" ht="20.25">
      <c r="A77" s="177"/>
      <c r="B77" s="71" t="s">
        <v>70</v>
      </c>
      <c r="C77" s="27">
        <f t="shared" ref="C77:J77" si="20">C38</f>
        <v>0</v>
      </c>
      <c r="D77" s="27">
        <f t="shared" si="20"/>
        <v>0</v>
      </c>
      <c r="E77" s="27">
        <f t="shared" si="20"/>
        <v>0</v>
      </c>
      <c r="F77" s="27">
        <f t="shared" si="20"/>
        <v>0</v>
      </c>
      <c r="G77" s="27">
        <f t="shared" si="20"/>
        <v>0</v>
      </c>
      <c r="H77" s="27">
        <f t="shared" si="20"/>
        <v>0</v>
      </c>
      <c r="I77" s="27">
        <f t="shared" si="20"/>
        <v>0</v>
      </c>
      <c r="J77" s="27">
        <f t="shared" si="20"/>
        <v>0</v>
      </c>
      <c r="K77" s="102">
        <f t="shared" ref="K77:K85" si="21">IF($C$36="X",C77,IF($D$36="X",D77,IF($E$36="X",E77,IF($F$36="X",F77,IF($G$36="X",G77,IF($H$36="X",H77,IF($I$36="X",I77,IF($J$36="X",J77,0))))))))</f>
        <v>0</v>
      </c>
      <c r="L77" s="102"/>
      <c r="M77" s="29"/>
      <c r="N77" s="28"/>
      <c r="O77" s="28"/>
      <c r="P77" s="28"/>
    </row>
    <row r="78" spans="1:19" ht="20.25">
      <c r="A78" s="177"/>
      <c r="B78" s="55" t="s">
        <v>71</v>
      </c>
      <c r="C78" s="27">
        <f t="shared" ref="C78:J78" si="22">IF(C84&gt;0,(C84/C77)*100,0)</f>
        <v>0</v>
      </c>
      <c r="D78" s="27">
        <f t="shared" si="22"/>
        <v>0</v>
      </c>
      <c r="E78" s="27">
        <f t="shared" si="22"/>
        <v>0</v>
      </c>
      <c r="F78" s="27">
        <f t="shared" si="22"/>
        <v>0</v>
      </c>
      <c r="G78" s="27">
        <f t="shared" si="22"/>
        <v>0</v>
      </c>
      <c r="H78" s="27">
        <f t="shared" si="22"/>
        <v>0</v>
      </c>
      <c r="I78" s="27">
        <f t="shared" si="22"/>
        <v>0</v>
      </c>
      <c r="J78" s="27">
        <f t="shared" si="22"/>
        <v>0</v>
      </c>
      <c r="K78" s="104">
        <f t="shared" si="21"/>
        <v>0</v>
      </c>
      <c r="L78" s="104"/>
      <c r="M78" s="28"/>
      <c r="N78" s="28"/>
      <c r="O78" s="28"/>
      <c r="P78" s="28"/>
      <c r="R78" s="134" t="s">
        <v>269</v>
      </c>
      <c r="S78" s="134"/>
    </row>
    <row r="79" spans="1:19" ht="20.25">
      <c r="A79" s="177"/>
      <c r="B79" s="55" t="s">
        <v>72</v>
      </c>
      <c r="C79" s="27">
        <f t="shared" ref="C79:J79" si="23">IF(C84&gt;0,(C85/C77)*100,0)</f>
        <v>0</v>
      </c>
      <c r="D79" s="27">
        <f t="shared" si="23"/>
        <v>0</v>
      </c>
      <c r="E79" s="27">
        <f t="shared" si="23"/>
        <v>0</v>
      </c>
      <c r="F79" s="27">
        <f t="shared" si="23"/>
        <v>0</v>
      </c>
      <c r="G79" s="27">
        <f t="shared" si="23"/>
        <v>0</v>
      </c>
      <c r="H79" s="27">
        <f t="shared" si="23"/>
        <v>0</v>
      </c>
      <c r="I79" s="27">
        <f t="shared" si="23"/>
        <v>0</v>
      </c>
      <c r="J79" s="27">
        <f t="shared" si="23"/>
        <v>0</v>
      </c>
      <c r="K79" s="104">
        <f t="shared" si="21"/>
        <v>0</v>
      </c>
      <c r="L79" s="104"/>
      <c r="M79" s="28"/>
      <c r="N79" s="28"/>
      <c r="O79" s="28"/>
      <c r="P79" s="28"/>
      <c r="R79" s="98" t="s">
        <v>21</v>
      </c>
      <c r="S79" s="98" t="s">
        <v>270</v>
      </c>
    </row>
    <row r="80" spans="1:19" ht="20.25">
      <c r="A80" s="177"/>
      <c r="B80" s="97" t="s">
        <v>60</v>
      </c>
      <c r="C80" s="30">
        <f>C77*$S$80%</f>
        <v>0</v>
      </c>
      <c r="D80" s="30">
        <f t="shared" ref="D80:J80" si="24">D77*$S$80%</f>
        <v>0</v>
      </c>
      <c r="E80" s="30">
        <f t="shared" si="24"/>
        <v>0</v>
      </c>
      <c r="F80" s="30">
        <f t="shared" si="24"/>
        <v>0</v>
      </c>
      <c r="G80" s="30">
        <f t="shared" si="24"/>
        <v>0</v>
      </c>
      <c r="H80" s="30">
        <f t="shared" si="24"/>
        <v>0</v>
      </c>
      <c r="I80" s="30">
        <f t="shared" si="24"/>
        <v>0</v>
      </c>
      <c r="J80" s="30">
        <f t="shared" si="24"/>
        <v>0</v>
      </c>
      <c r="K80" s="102">
        <f t="shared" si="21"/>
        <v>0</v>
      </c>
      <c r="L80" s="102"/>
      <c r="M80" s="28"/>
      <c r="N80" s="28"/>
      <c r="O80" s="28"/>
      <c r="P80" s="28"/>
      <c r="R80" s="97" t="s">
        <v>60</v>
      </c>
      <c r="S80" s="182" t="s">
        <v>274</v>
      </c>
    </row>
    <row r="81" spans="1:19" ht="20.25">
      <c r="A81" s="177"/>
      <c r="B81" s="97" t="s">
        <v>73</v>
      </c>
      <c r="C81" s="30">
        <f>C77*$S$81%</f>
        <v>0</v>
      </c>
      <c r="D81" s="30">
        <f t="shared" ref="D81:J81" si="25">D77*3%</f>
        <v>0</v>
      </c>
      <c r="E81" s="30">
        <f t="shared" si="25"/>
        <v>0</v>
      </c>
      <c r="F81" s="30">
        <f t="shared" si="25"/>
        <v>0</v>
      </c>
      <c r="G81" s="30">
        <f t="shared" si="25"/>
        <v>0</v>
      </c>
      <c r="H81" s="30">
        <f t="shared" si="25"/>
        <v>0</v>
      </c>
      <c r="I81" s="30">
        <f t="shared" si="25"/>
        <v>0</v>
      </c>
      <c r="J81" s="30">
        <f t="shared" si="25"/>
        <v>0</v>
      </c>
      <c r="K81" s="102">
        <f t="shared" si="21"/>
        <v>0</v>
      </c>
      <c r="L81" s="102"/>
      <c r="M81" s="28"/>
      <c r="N81" s="28"/>
      <c r="O81" s="28"/>
      <c r="P81" s="28"/>
      <c r="R81" s="97" t="s">
        <v>73</v>
      </c>
      <c r="S81" s="182" t="s">
        <v>274</v>
      </c>
    </row>
    <row r="82" spans="1:19" ht="20.25">
      <c r="A82" s="177"/>
      <c r="B82" s="97" t="s">
        <v>74</v>
      </c>
      <c r="C82" s="30">
        <f>C77*$S$82%</f>
        <v>0</v>
      </c>
      <c r="D82" s="30">
        <f t="shared" ref="D82:J82" si="26">D77*12%</f>
        <v>0</v>
      </c>
      <c r="E82" s="30">
        <f t="shared" si="26"/>
        <v>0</v>
      </c>
      <c r="F82" s="30">
        <f t="shared" si="26"/>
        <v>0</v>
      </c>
      <c r="G82" s="30">
        <f t="shared" si="26"/>
        <v>0</v>
      </c>
      <c r="H82" s="30">
        <f t="shared" si="26"/>
        <v>0</v>
      </c>
      <c r="I82" s="30">
        <f t="shared" si="26"/>
        <v>0</v>
      </c>
      <c r="J82" s="30">
        <f t="shared" si="26"/>
        <v>0</v>
      </c>
      <c r="K82" s="102">
        <f t="shared" si="21"/>
        <v>0</v>
      </c>
      <c r="L82" s="102"/>
      <c r="M82" s="28"/>
      <c r="N82" s="28"/>
      <c r="O82" s="28"/>
      <c r="P82" s="28"/>
      <c r="R82" s="97" t="s">
        <v>74</v>
      </c>
      <c r="S82" s="182" t="s">
        <v>274</v>
      </c>
    </row>
    <row r="83" spans="1:19" ht="20.25">
      <c r="A83" s="177"/>
      <c r="B83" s="71" t="s">
        <v>75</v>
      </c>
      <c r="C83" s="30">
        <f t="shared" ref="C83:J83" si="27">C67+SUM(C80:C82)</f>
        <v>0</v>
      </c>
      <c r="D83" s="30">
        <f t="shared" si="27"/>
        <v>0</v>
      </c>
      <c r="E83" s="30">
        <f t="shared" si="27"/>
        <v>0</v>
      </c>
      <c r="F83" s="30">
        <f t="shared" si="27"/>
        <v>0</v>
      </c>
      <c r="G83" s="30">
        <f t="shared" si="27"/>
        <v>0</v>
      </c>
      <c r="H83" s="30">
        <f t="shared" si="27"/>
        <v>0</v>
      </c>
      <c r="I83" s="30">
        <f t="shared" si="27"/>
        <v>0</v>
      </c>
      <c r="J83" s="30">
        <f t="shared" si="27"/>
        <v>0</v>
      </c>
      <c r="K83" s="102">
        <f t="shared" si="21"/>
        <v>0</v>
      </c>
      <c r="L83" s="102"/>
      <c r="M83" s="29"/>
      <c r="N83" s="28"/>
      <c r="O83" s="28"/>
      <c r="P83" s="28"/>
    </row>
    <row r="84" spans="1:19" ht="20.25">
      <c r="A84" s="177"/>
      <c r="B84" s="55" t="s">
        <v>42</v>
      </c>
      <c r="C84" s="30">
        <f t="shared" ref="C84:J84" si="28">C77-C83</f>
        <v>0</v>
      </c>
      <c r="D84" s="30">
        <f t="shared" si="28"/>
        <v>0</v>
      </c>
      <c r="E84" s="30">
        <f t="shared" si="28"/>
        <v>0</v>
      </c>
      <c r="F84" s="30">
        <f t="shared" si="28"/>
        <v>0</v>
      </c>
      <c r="G84" s="30">
        <f t="shared" si="28"/>
        <v>0</v>
      </c>
      <c r="H84" s="30">
        <f t="shared" si="28"/>
        <v>0</v>
      </c>
      <c r="I84" s="30">
        <f t="shared" si="28"/>
        <v>0</v>
      </c>
      <c r="J84" s="30">
        <f t="shared" si="28"/>
        <v>0</v>
      </c>
      <c r="K84" s="102">
        <f t="shared" si="21"/>
        <v>0</v>
      </c>
      <c r="L84" s="102"/>
      <c r="M84" s="31"/>
      <c r="N84" s="28"/>
      <c r="O84" s="28"/>
      <c r="P84" s="28"/>
    </row>
    <row r="85" spans="1:19" ht="20.25">
      <c r="A85" s="177"/>
      <c r="B85" s="55" t="s">
        <v>43</v>
      </c>
      <c r="C85" s="30">
        <f t="shared" ref="C85:J85" si="29">-(((SUM(C53:C64)-$I$32)-C77)+(SUM(C80:C82)))</f>
        <v>0</v>
      </c>
      <c r="D85" s="30">
        <f t="shared" si="29"/>
        <v>0</v>
      </c>
      <c r="E85" s="30">
        <f t="shared" si="29"/>
        <v>0</v>
      </c>
      <c r="F85" s="30">
        <f t="shared" si="29"/>
        <v>0</v>
      </c>
      <c r="G85" s="30">
        <f t="shared" si="29"/>
        <v>0</v>
      </c>
      <c r="H85" s="30">
        <f t="shared" si="29"/>
        <v>0</v>
      </c>
      <c r="I85" s="30">
        <f t="shared" si="29"/>
        <v>0</v>
      </c>
      <c r="J85" s="30">
        <f t="shared" si="29"/>
        <v>0</v>
      </c>
      <c r="K85" s="102">
        <f t="shared" si="21"/>
        <v>0</v>
      </c>
      <c r="L85" s="102"/>
      <c r="M85" s="31"/>
      <c r="N85" s="28"/>
      <c r="O85" s="28"/>
      <c r="P85" s="28"/>
    </row>
    <row r="86" spans="1:19" ht="18">
      <c r="A86" s="46"/>
      <c r="B86" s="55" t="s">
        <v>41</v>
      </c>
      <c r="C86" s="81"/>
      <c r="D86" s="81"/>
      <c r="E86" s="81"/>
      <c r="F86" s="81"/>
      <c r="G86" s="81"/>
      <c r="H86" s="81"/>
      <c r="I86" s="81"/>
      <c r="J86" s="81"/>
      <c r="K86" s="32" t="s">
        <v>76</v>
      </c>
      <c r="L86" s="3"/>
      <c r="M86" s="3"/>
      <c r="N86" s="3"/>
      <c r="O86" s="3"/>
      <c r="P86" s="3"/>
    </row>
    <row r="87" spans="1:19" ht="20.25">
      <c r="A87" s="46"/>
      <c r="B87" s="56" t="s">
        <v>261</v>
      </c>
      <c r="C87" s="33">
        <f t="shared" ref="C87:J87" si="30">IF($G$6&lt;&gt;"",VLOOKUP($G$6,$B$106:$D$131,3,FALSE),0)</f>
        <v>0</v>
      </c>
      <c r="D87" s="33">
        <f t="shared" si="30"/>
        <v>0</v>
      </c>
      <c r="E87" s="33">
        <f t="shared" si="30"/>
        <v>0</v>
      </c>
      <c r="F87" s="33">
        <f t="shared" si="30"/>
        <v>0</v>
      </c>
      <c r="G87" s="33">
        <f t="shared" si="30"/>
        <v>0</v>
      </c>
      <c r="H87" s="33">
        <f t="shared" si="30"/>
        <v>0</v>
      </c>
      <c r="I87" s="33">
        <f t="shared" si="30"/>
        <v>0</v>
      </c>
      <c r="J87" s="33">
        <f t="shared" si="30"/>
        <v>0</v>
      </c>
      <c r="K87" s="32"/>
      <c r="L87" s="3"/>
      <c r="M87" s="3"/>
      <c r="N87" s="3"/>
      <c r="O87" s="3"/>
      <c r="P87" s="3"/>
    </row>
    <row r="88" spans="1:19">
      <c r="A88" s="46"/>
      <c r="B88" s="6"/>
      <c r="C88" s="6"/>
      <c r="D88" s="6"/>
      <c r="E88" s="6"/>
      <c r="F88" s="6"/>
      <c r="G88" s="6"/>
      <c r="H88" s="6"/>
      <c r="I88" s="6"/>
      <c r="J88" s="6"/>
      <c r="K88" s="32"/>
      <c r="L88" s="3"/>
      <c r="M88" s="3"/>
      <c r="N88" s="3"/>
      <c r="O88" s="3"/>
      <c r="P88" s="3"/>
    </row>
    <row r="89" spans="1:19" ht="15" customHeight="1">
      <c r="A89" s="77"/>
      <c r="F89" s="6"/>
      <c r="G89" s="6"/>
      <c r="H89" s="6"/>
      <c r="I89" s="6"/>
      <c r="J89" s="6"/>
      <c r="K89" s="3"/>
      <c r="L89" s="3"/>
      <c r="M89" s="3"/>
      <c r="N89" s="3"/>
      <c r="O89" s="3"/>
      <c r="P89" s="3"/>
    </row>
    <row r="90" spans="1:19" ht="15" customHeight="1">
      <c r="A90" s="78"/>
      <c r="B90" s="70" t="s">
        <v>265</v>
      </c>
      <c r="C90" s="80"/>
      <c r="D90" s="80"/>
      <c r="E90" s="80"/>
      <c r="F90" s="80"/>
      <c r="G90" s="6"/>
      <c r="H90" s="6"/>
      <c r="I90" s="6"/>
      <c r="J90" s="6"/>
      <c r="N90" s="3"/>
      <c r="O90" s="3"/>
      <c r="P90" s="3"/>
    </row>
    <row r="91" spans="1:19" ht="15" customHeight="1">
      <c r="A91" s="78"/>
      <c r="B91" s="36" t="s">
        <v>268</v>
      </c>
      <c r="C91" s="3"/>
      <c r="D91" s="3"/>
      <c r="E91" s="3"/>
      <c r="F91" s="79"/>
      <c r="G91" s="6"/>
      <c r="H91" s="6"/>
      <c r="I91" s="6"/>
      <c r="J91" s="6"/>
      <c r="N91" s="3"/>
      <c r="O91" s="3"/>
      <c r="P91" s="3"/>
    </row>
    <row r="92" spans="1:19">
      <c r="A92" s="78"/>
      <c r="F92" s="6"/>
      <c r="G92" s="6"/>
      <c r="I92" s="6"/>
      <c r="N92" s="3"/>
      <c r="O92" s="3"/>
      <c r="P92" s="3"/>
    </row>
    <row r="93" spans="1:19">
      <c r="A93" s="62"/>
      <c r="F93" s="32"/>
      <c r="G93" s="6"/>
      <c r="H93" s="6"/>
      <c r="I93" s="6"/>
      <c r="J93" s="6"/>
      <c r="K93" s="3"/>
      <c r="L93" s="3"/>
      <c r="M93" s="3"/>
      <c r="N93" s="3"/>
      <c r="O93" s="3"/>
      <c r="P93" s="3"/>
    </row>
    <row r="94" spans="1:19">
      <c r="A94" s="169" t="s">
        <v>258</v>
      </c>
      <c r="B94" s="57" t="s">
        <v>79</v>
      </c>
      <c r="C94" s="35"/>
      <c r="F94" s="32"/>
      <c r="G94" s="6"/>
      <c r="H94" s="6"/>
      <c r="I94" s="6"/>
      <c r="J94" s="6"/>
      <c r="K94" s="3"/>
      <c r="L94" s="3"/>
      <c r="M94" s="3"/>
      <c r="N94" s="3"/>
      <c r="O94" s="3"/>
      <c r="P94" s="3"/>
    </row>
    <row r="95" spans="1:19">
      <c r="A95" s="170"/>
      <c r="B95" s="58" t="s">
        <v>6</v>
      </c>
      <c r="C95" s="35"/>
      <c r="F95" s="32"/>
      <c r="G95" s="6"/>
      <c r="H95" s="6"/>
      <c r="I95" s="6"/>
      <c r="J95" s="6"/>
      <c r="K95" s="3"/>
      <c r="L95" s="3"/>
      <c r="M95" s="3"/>
      <c r="N95" s="3"/>
      <c r="O95" s="3"/>
      <c r="P95" s="3"/>
    </row>
    <row r="96" spans="1:19">
      <c r="A96" s="170"/>
      <c r="B96" s="58" t="s">
        <v>12</v>
      </c>
      <c r="C96" s="35"/>
      <c r="F96" s="32"/>
      <c r="G96" s="6"/>
      <c r="H96" s="6"/>
      <c r="I96" s="6"/>
      <c r="J96" s="6"/>
      <c r="K96" s="3"/>
      <c r="L96" s="3"/>
      <c r="M96" s="3"/>
      <c r="N96" s="3"/>
      <c r="O96" s="3"/>
      <c r="P96" s="3"/>
    </row>
    <row r="97" spans="1:16">
      <c r="A97" s="170"/>
      <c r="B97" s="58" t="s">
        <v>81</v>
      </c>
      <c r="C97" s="35"/>
      <c r="F97" s="32"/>
      <c r="G97" s="6"/>
      <c r="H97" s="6"/>
      <c r="I97" s="6"/>
      <c r="J97" s="6"/>
      <c r="K97" s="3"/>
      <c r="L97" s="3"/>
      <c r="M97" s="3"/>
      <c r="N97" s="3"/>
      <c r="O97" s="3"/>
      <c r="P97" s="3"/>
    </row>
    <row r="98" spans="1:16">
      <c r="A98" s="170"/>
      <c r="B98" s="3"/>
      <c r="C98" s="35"/>
      <c r="F98" s="32"/>
      <c r="G98" s="6"/>
      <c r="H98" s="6"/>
      <c r="I98" s="6"/>
      <c r="J98" s="6"/>
      <c r="K98" s="3"/>
      <c r="L98" s="3"/>
      <c r="M98" s="3"/>
      <c r="N98" s="3"/>
      <c r="O98" s="3"/>
      <c r="P98" s="3"/>
    </row>
    <row r="99" spans="1:16">
      <c r="A99" s="170"/>
      <c r="B99" s="3"/>
      <c r="C99" s="35"/>
      <c r="F99" s="32"/>
      <c r="G99" s="6"/>
      <c r="H99" s="6"/>
      <c r="I99" s="6"/>
      <c r="J99" s="6"/>
      <c r="K99" s="3"/>
      <c r="L99" s="3"/>
      <c r="M99" s="3"/>
      <c r="N99" s="3"/>
      <c r="O99" s="3"/>
      <c r="P99" s="3"/>
    </row>
    <row r="100" spans="1:16">
      <c r="A100" s="170"/>
      <c r="B100" s="59" t="s">
        <v>77</v>
      </c>
      <c r="C100" s="34" t="s">
        <v>13</v>
      </c>
      <c r="F100" s="32"/>
      <c r="G100" s="6"/>
      <c r="H100" s="6"/>
      <c r="I100" s="6"/>
      <c r="J100" s="6"/>
      <c r="K100" s="3"/>
      <c r="L100" s="3"/>
      <c r="M100" s="3"/>
      <c r="N100" s="3"/>
      <c r="O100" s="3"/>
      <c r="P100" s="3"/>
    </row>
    <row r="101" spans="1:16">
      <c r="A101" s="170"/>
      <c r="B101" s="60" t="s">
        <v>78</v>
      </c>
      <c r="C101" s="37">
        <v>0.15</v>
      </c>
      <c r="F101" s="32"/>
      <c r="G101" s="6"/>
      <c r="H101" s="6"/>
      <c r="I101" s="6"/>
      <c r="J101" s="6"/>
      <c r="K101" s="3"/>
      <c r="L101" s="3"/>
      <c r="M101" s="3"/>
      <c r="N101" s="3"/>
      <c r="O101" s="3"/>
      <c r="P101" s="3"/>
    </row>
    <row r="102" spans="1:16">
      <c r="A102" s="170"/>
      <c r="B102" s="60" t="s">
        <v>12</v>
      </c>
      <c r="C102" s="37">
        <v>0</v>
      </c>
      <c r="F102" s="32"/>
      <c r="G102" s="6"/>
      <c r="H102" s="6"/>
      <c r="I102" s="6"/>
      <c r="J102" s="6"/>
      <c r="K102" s="3"/>
      <c r="L102" s="3"/>
      <c r="M102" s="3"/>
      <c r="N102" s="3"/>
      <c r="O102" s="3"/>
      <c r="P102" s="3"/>
    </row>
    <row r="103" spans="1:16">
      <c r="A103" s="170"/>
      <c r="F103" s="32"/>
      <c r="G103" s="6"/>
      <c r="H103" s="6"/>
      <c r="I103" s="6"/>
      <c r="J103" s="6"/>
      <c r="K103" s="3"/>
      <c r="L103" s="3"/>
      <c r="M103" s="3"/>
      <c r="N103" s="3"/>
      <c r="O103" s="3"/>
      <c r="P103" s="3"/>
    </row>
    <row r="104" spans="1:16">
      <c r="A104" s="170"/>
      <c r="B104" s="3"/>
      <c r="C104" s="35"/>
      <c r="D104" s="6"/>
      <c r="E104" s="6"/>
      <c r="F104" s="32"/>
      <c r="G104" s="6"/>
      <c r="H104" s="6"/>
      <c r="I104" s="6"/>
      <c r="J104" s="6"/>
      <c r="K104" s="3"/>
      <c r="L104" s="3"/>
      <c r="M104" s="3"/>
      <c r="N104" s="3"/>
      <c r="O104" s="3"/>
      <c r="P104" s="3"/>
    </row>
    <row r="105" spans="1:16">
      <c r="A105" s="170"/>
      <c r="B105" s="61" t="s">
        <v>82</v>
      </c>
      <c r="C105" s="38" t="s">
        <v>83</v>
      </c>
      <c r="D105" s="38" t="s">
        <v>84</v>
      </c>
      <c r="E105" s="1"/>
      <c r="F105" s="96" t="s">
        <v>111</v>
      </c>
      <c r="K105" s="3"/>
      <c r="M105" s="3"/>
      <c r="N105" s="3"/>
      <c r="O105" s="3"/>
      <c r="P105" s="3"/>
    </row>
    <row r="106" spans="1:16">
      <c r="A106" s="170"/>
      <c r="B106" s="60" t="s">
        <v>85</v>
      </c>
      <c r="C106" s="39">
        <v>0</v>
      </c>
      <c r="D106" s="39">
        <v>40</v>
      </c>
      <c r="E106" s="1"/>
      <c r="F106" s="3" t="s">
        <v>112</v>
      </c>
      <c r="K106" s="3"/>
      <c r="M106" s="3"/>
      <c r="N106" s="3"/>
      <c r="O106" s="3"/>
      <c r="P106" s="3"/>
    </row>
    <row r="107" spans="1:16">
      <c r="A107" s="170"/>
      <c r="B107" s="60" t="s">
        <v>86</v>
      </c>
      <c r="C107" s="39">
        <v>0</v>
      </c>
      <c r="D107" s="39">
        <v>40</v>
      </c>
      <c r="E107" s="1"/>
      <c r="F107" s="1" t="s">
        <v>113</v>
      </c>
      <c r="K107" s="3"/>
      <c r="M107" s="3"/>
      <c r="N107" s="3"/>
      <c r="O107" s="3"/>
      <c r="P107" s="3"/>
    </row>
    <row r="108" spans="1:16">
      <c r="A108" s="170"/>
      <c r="B108" s="60" t="s">
        <v>87</v>
      </c>
      <c r="C108" s="39">
        <v>0</v>
      </c>
      <c r="D108" s="39">
        <v>40</v>
      </c>
      <c r="E108" s="1"/>
      <c r="F108" s="3" t="s">
        <v>114</v>
      </c>
      <c r="G108" s="6"/>
      <c r="H108" s="6"/>
      <c r="I108" s="6"/>
      <c r="J108" s="6"/>
      <c r="K108" s="3"/>
      <c r="M108" s="3"/>
      <c r="N108" s="3"/>
      <c r="O108" s="3"/>
      <c r="P108" s="3"/>
    </row>
    <row r="109" spans="1:16">
      <c r="A109" s="170"/>
      <c r="B109" s="60" t="s">
        <v>88</v>
      </c>
      <c r="C109" s="39">
        <v>0</v>
      </c>
      <c r="D109" s="39">
        <v>40</v>
      </c>
      <c r="E109" s="1"/>
      <c r="F109" s="3" t="s">
        <v>115</v>
      </c>
      <c r="G109" s="6"/>
      <c r="H109" s="6"/>
      <c r="I109" s="6"/>
      <c r="J109" s="6"/>
      <c r="K109" s="3"/>
      <c r="M109" s="3"/>
      <c r="N109" s="3"/>
      <c r="O109" s="3"/>
      <c r="P109" s="3"/>
    </row>
    <row r="110" spans="1:16">
      <c r="A110" s="170"/>
      <c r="B110" s="60" t="s">
        <v>89</v>
      </c>
      <c r="C110" s="39">
        <v>0</v>
      </c>
      <c r="D110" s="39">
        <v>40</v>
      </c>
      <c r="E110" s="35"/>
      <c r="F110" s="3" t="s">
        <v>116</v>
      </c>
      <c r="M110" s="3"/>
      <c r="N110" s="3"/>
      <c r="O110" s="3"/>
      <c r="P110" s="3"/>
    </row>
    <row r="111" spans="1:16">
      <c r="A111" s="170"/>
      <c r="B111" s="60" t="s">
        <v>90</v>
      </c>
      <c r="C111" s="39">
        <v>0</v>
      </c>
      <c r="D111" s="39">
        <v>40</v>
      </c>
      <c r="E111" s="35"/>
      <c r="F111" s="3" t="s">
        <v>117</v>
      </c>
      <c r="M111" s="3"/>
      <c r="N111" s="3"/>
      <c r="O111" s="3"/>
      <c r="P111" s="3"/>
    </row>
    <row r="112" spans="1:16">
      <c r="A112" s="170"/>
      <c r="B112" s="60" t="s">
        <v>91</v>
      </c>
      <c r="C112" s="39">
        <v>0</v>
      </c>
      <c r="D112" s="39">
        <v>40</v>
      </c>
      <c r="E112" s="35"/>
      <c r="F112" s="3" t="s">
        <v>118</v>
      </c>
      <c r="M112" s="3"/>
      <c r="N112" s="3"/>
      <c r="O112" s="3"/>
      <c r="P112" s="3"/>
    </row>
    <row r="113" spans="1:16">
      <c r="A113" s="170"/>
      <c r="B113" s="60" t="s">
        <v>93</v>
      </c>
      <c r="C113" s="39">
        <v>15</v>
      </c>
      <c r="D113" s="39">
        <v>40</v>
      </c>
      <c r="E113" s="35"/>
      <c r="F113" s="3" t="s">
        <v>119</v>
      </c>
      <c r="M113" s="3"/>
      <c r="N113" s="3"/>
      <c r="O113" s="3"/>
      <c r="P113" s="3"/>
    </row>
    <row r="114" spans="1:16">
      <c r="A114" s="170"/>
      <c r="B114" s="60" t="s">
        <v>92</v>
      </c>
      <c r="C114" s="39">
        <v>0</v>
      </c>
      <c r="D114" s="39">
        <v>40</v>
      </c>
      <c r="E114" s="35"/>
      <c r="F114" s="3" t="s">
        <v>120</v>
      </c>
      <c r="M114" s="3"/>
      <c r="N114" s="3"/>
      <c r="O114" s="3"/>
      <c r="P114" s="3"/>
    </row>
    <row r="115" spans="1:16">
      <c r="A115" s="170"/>
      <c r="B115" s="60" t="s">
        <v>94</v>
      </c>
      <c r="C115" s="39">
        <v>20</v>
      </c>
      <c r="D115" s="39">
        <v>40</v>
      </c>
      <c r="E115" s="35"/>
      <c r="F115" s="3" t="s">
        <v>121</v>
      </c>
      <c r="M115" s="3"/>
      <c r="N115" s="3"/>
      <c r="O115" s="3"/>
      <c r="P115" s="3"/>
    </row>
    <row r="116" spans="1:16">
      <c r="A116" s="170"/>
      <c r="B116" s="60" t="s">
        <v>95</v>
      </c>
      <c r="C116" s="39">
        <v>12</v>
      </c>
      <c r="D116" s="39">
        <v>40</v>
      </c>
      <c r="E116" s="35"/>
      <c r="F116" s="3" t="s">
        <v>122</v>
      </c>
      <c r="M116" s="3"/>
      <c r="N116" s="3"/>
      <c r="O116" s="3"/>
      <c r="P116" s="3"/>
    </row>
    <row r="117" spans="1:16">
      <c r="A117" s="170"/>
      <c r="B117" s="60" t="s">
        <v>96</v>
      </c>
      <c r="C117" s="39">
        <v>18</v>
      </c>
      <c r="D117" s="39">
        <v>40</v>
      </c>
      <c r="E117" s="35"/>
      <c r="F117" s="3" t="s">
        <v>123</v>
      </c>
      <c r="M117" s="3"/>
      <c r="N117" s="3"/>
      <c r="O117" s="3"/>
      <c r="P117" s="3"/>
    </row>
    <row r="118" spans="1:16">
      <c r="A118" s="170"/>
      <c r="B118" s="60" t="s">
        <v>97</v>
      </c>
      <c r="C118" s="39">
        <v>20</v>
      </c>
      <c r="D118" s="39">
        <v>40</v>
      </c>
      <c r="E118" s="35"/>
      <c r="F118" s="3" t="s">
        <v>124</v>
      </c>
      <c r="M118" s="3"/>
      <c r="N118" s="3"/>
      <c r="O118" s="3"/>
      <c r="P118" s="3"/>
    </row>
    <row r="119" spans="1:16">
      <c r="A119" s="170"/>
      <c r="B119" s="60" t="s">
        <v>98</v>
      </c>
      <c r="C119" s="39">
        <v>15</v>
      </c>
      <c r="D119" s="39">
        <v>40</v>
      </c>
      <c r="E119" s="35"/>
      <c r="F119" s="3" t="s">
        <v>125</v>
      </c>
      <c r="M119" s="3"/>
      <c r="N119" s="3"/>
      <c r="O119" s="3"/>
      <c r="P119" s="3"/>
    </row>
    <row r="120" spans="1:16">
      <c r="A120" s="170"/>
      <c r="B120" s="60" t="s">
        <v>99</v>
      </c>
      <c r="C120" s="39">
        <v>17</v>
      </c>
      <c r="D120" s="39">
        <v>40</v>
      </c>
      <c r="E120" s="35"/>
      <c r="F120" s="3" t="s">
        <v>126</v>
      </c>
      <c r="M120" s="3"/>
      <c r="N120" s="3"/>
      <c r="O120" s="3"/>
      <c r="P120" s="3"/>
    </row>
    <row r="121" spans="1:16">
      <c r="A121" s="170"/>
      <c r="B121" s="60" t="s">
        <v>100</v>
      </c>
      <c r="C121" s="39">
        <v>0</v>
      </c>
      <c r="D121" s="39">
        <v>40</v>
      </c>
      <c r="E121" s="35"/>
      <c r="F121" s="3" t="s">
        <v>127</v>
      </c>
      <c r="G121" s="6"/>
      <c r="L121" s="3"/>
      <c r="M121" s="3"/>
      <c r="N121" s="3"/>
      <c r="O121" s="3"/>
      <c r="P121" s="3"/>
    </row>
    <row r="122" spans="1:16">
      <c r="A122" s="170"/>
      <c r="B122" s="60" t="s">
        <v>101</v>
      </c>
      <c r="C122" s="39">
        <v>22</v>
      </c>
      <c r="D122" s="39">
        <v>40</v>
      </c>
      <c r="E122" s="1"/>
      <c r="F122" s="3" t="s">
        <v>128</v>
      </c>
      <c r="G122" s="6"/>
      <c r="L122" s="3"/>
      <c r="M122" s="3"/>
      <c r="N122" s="3"/>
      <c r="O122" s="3"/>
      <c r="P122" s="3"/>
    </row>
    <row r="123" spans="1:16">
      <c r="A123" s="170"/>
      <c r="B123" s="60" t="s">
        <v>102</v>
      </c>
      <c r="C123" s="39">
        <v>0</v>
      </c>
      <c r="D123" s="39">
        <v>40</v>
      </c>
      <c r="E123" s="1"/>
      <c r="F123" s="3" t="s">
        <v>129</v>
      </c>
      <c r="G123" s="6"/>
      <c r="L123" s="3"/>
      <c r="M123" s="3"/>
      <c r="N123" s="3"/>
      <c r="O123" s="3"/>
      <c r="P123" s="3"/>
    </row>
    <row r="124" spans="1:16">
      <c r="A124" s="170"/>
      <c r="B124" s="60" t="s">
        <v>103</v>
      </c>
      <c r="C124" s="39">
        <v>25</v>
      </c>
      <c r="D124" s="39">
        <v>40</v>
      </c>
      <c r="E124" s="1"/>
      <c r="F124" s="3" t="s">
        <v>130</v>
      </c>
      <c r="G124" s="6"/>
      <c r="L124" s="3"/>
      <c r="M124" s="3"/>
      <c r="N124" s="3"/>
      <c r="O124" s="3"/>
      <c r="P124" s="3"/>
    </row>
    <row r="125" spans="1:16">
      <c r="A125" s="170"/>
      <c r="B125" s="60" t="s">
        <v>104</v>
      </c>
      <c r="C125" s="39">
        <v>12</v>
      </c>
      <c r="D125" s="39">
        <v>40</v>
      </c>
      <c r="E125" s="1"/>
      <c r="F125" s="3" t="s">
        <v>131</v>
      </c>
      <c r="G125" s="6"/>
      <c r="L125" s="3"/>
      <c r="M125" s="3"/>
      <c r="N125" s="3"/>
      <c r="O125" s="3"/>
      <c r="P125" s="3"/>
    </row>
    <row r="126" spans="1:16">
      <c r="A126" s="170"/>
      <c r="B126" s="60" t="s">
        <v>105</v>
      </c>
      <c r="C126" s="39">
        <v>0</v>
      </c>
      <c r="D126" s="39">
        <v>40</v>
      </c>
      <c r="E126" s="1"/>
      <c r="F126" s="3" t="s">
        <v>132</v>
      </c>
      <c r="G126" s="6"/>
      <c r="L126" s="3"/>
      <c r="M126" s="3"/>
      <c r="N126" s="3"/>
      <c r="O126" s="3"/>
      <c r="P126" s="3"/>
    </row>
    <row r="127" spans="1:16">
      <c r="A127" s="170"/>
      <c r="B127" s="60" t="s">
        <v>109</v>
      </c>
      <c r="C127" s="39">
        <v>10</v>
      </c>
      <c r="D127" s="39">
        <v>0</v>
      </c>
      <c r="E127" s="1"/>
      <c r="F127" s="3" t="s">
        <v>133</v>
      </c>
      <c r="G127" s="6"/>
      <c r="L127" s="3"/>
      <c r="M127" s="3"/>
      <c r="N127" s="3"/>
      <c r="O127" s="3"/>
      <c r="P127" s="3"/>
    </row>
    <row r="128" spans="1:16">
      <c r="A128" s="170"/>
      <c r="B128" s="60" t="s">
        <v>106</v>
      </c>
      <c r="C128" s="39">
        <v>18</v>
      </c>
      <c r="D128" s="39">
        <v>40</v>
      </c>
      <c r="E128" s="1"/>
      <c r="F128" s="3" t="s">
        <v>134</v>
      </c>
      <c r="G128" s="6"/>
      <c r="L128" s="3"/>
      <c r="M128" s="3"/>
      <c r="N128" s="3"/>
      <c r="O128" s="3"/>
      <c r="P128" s="3"/>
    </row>
    <row r="129" spans="1:16">
      <c r="A129" s="170"/>
      <c r="B129" s="60" t="s">
        <v>107</v>
      </c>
      <c r="C129" s="39">
        <v>0</v>
      </c>
      <c r="D129" s="39">
        <v>60</v>
      </c>
      <c r="E129" s="1"/>
      <c r="F129" s="3" t="s">
        <v>135</v>
      </c>
      <c r="G129" s="6"/>
      <c r="L129" s="3"/>
      <c r="M129" s="3"/>
      <c r="N129" s="3"/>
      <c r="O129" s="3"/>
      <c r="P129" s="3"/>
    </row>
    <row r="130" spans="1:16">
      <c r="A130" s="170"/>
      <c r="B130" s="58" t="s">
        <v>108</v>
      </c>
      <c r="C130" s="39">
        <v>0</v>
      </c>
      <c r="D130" s="39">
        <v>40</v>
      </c>
      <c r="E130" s="1"/>
      <c r="F130" s="3" t="s">
        <v>136</v>
      </c>
      <c r="G130" s="6"/>
      <c r="L130" s="3"/>
      <c r="M130" s="3"/>
      <c r="N130" s="3"/>
      <c r="O130" s="3"/>
      <c r="P130" s="3"/>
    </row>
    <row r="131" spans="1:16">
      <c r="A131" s="170"/>
      <c r="B131" s="60" t="s">
        <v>110</v>
      </c>
      <c r="C131" s="39">
        <v>20</v>
      </c>
      <c r="D131" s="39">
        <v>40</v>
      </c>
      <c r="E131" s="1"/>
      <c r="F131" s="3" t="s">
        <v>137</v>
      </c>
      <c r="G131" s="6"/>
      <c r="L131" s="3"/>
      <c r="M131" s="3"/>
      <c r="N131" s="3"/>
      <c r="O131" s="3"/>
      <c r="P131" s="3"/>
    </row>
    <row r="132" spans="1:16">
      <c r="A132" s="170"/>
      <c r="B132" s="40" t="s">
        <v>109</v>
      </c>
      <c r="C132" s="3">
        <v>10</v>
      </c>
      <c r="D132" s="1">
        <v>0</v>
      </c>
      <c r="E132" s="1"/>
      <c r="F132" s="3" t="s">
        <v>138</v>
      </c>
      <c r="G132" s="6"/>
      <c r="L132" s="3"/>
      <c r="M132" s="3"/>
      <c r="N132" s="3"/>
      <c r="O132" s="3"/>
      <c r="P132" s="3"/>
    </row>
    <row r="133" spans="1:16">
      <c r="A133" s="170"/>
      <c r="B133" s="40" t="s">
        <v>106</v>
      </c>
      <c r="C133" s="3">
        <v>18</v>
      </c>
      <c r="D133" s="1">
        <v>40</v>
      </c>
      <c r="E133" s="1"/>
      <c r="F133" s="3" t="s">
        <v>139</v>
      </c>
      <c r="G133" s="6"/>
      <c r="L133" s="3"/>
      <c r="M133" s="3"/>
      <c r="N133" s="3"/>
      <c r="O133" s="3"/>
      <c r="P133" s="3"/>
    </row>
    <row r="134" spans="1:16">
      <c r="A134" s="170"/>
      <c r="B134" t="s">
        <v>107</v>
      </c>
      <c r="C134" s="35">
        <v>30</v>
      </c>
      <c r="D134" s="3">
        <v>60</v>
      </c>
      <c r="E134" s="3"/>
      <c r="F134" s="3" t="s">
        <v>140</v>
      </c>
      <c r="G134" s="6"/>
      <c r="L134" s="3"/>
      <c r="M134" s="3"/>
      <c r="N134" s="3"/>
      <c r="O134" s="3"/>
      <c r="P134" s="3"/>
    </row>
    <row r="135" spans="1:16">
      <c r="A135" s="170"/>
      <c r="B135" t="s">
        <v>108</v>
      </c>
      <c r="C135" s="35">
        <v>20</v>
      </c>
      <c r="D135" s="6">
        <v>40</v>
      </c>
      <c r="E135" s="6"/>
      <c r="F135" s="3" t="s">
        <v>141</v>
      </c>
      <c r="G135" s="6"/>
      <c r="L135" s="3"/>
      <c r="M135" s="3"/>
      <c r="N135" s="3"/>
      <c r="O135" s="3"/>
      <c r="P135" s="3"/>
    </row>
    <row r="136" spans="1:16">
      <c r="A136" s="170"/>
      <c r="B136" t="s">
        <v>110</v>
      </c>
      <c r="C136" s="35">
        <v>20</v>
      </c>
      <c r="D136" s="6">
        <v>40</v>
      </c>
      <c r="E136" s="6"/>
      <c r="F136" s="3" t="s">
        <v>142</v>
      </c>
      <c r="G136" s="6"/>
      <c r="L136" s="3"/>
      <c r="M136" s="3"/>
      <c r="N136" s="3"/>
      <c r="O136" s="3"/>
      <c r="P136" s="3"/>
    </row>
    <row r="137" spans="1:16">
      <c r="A137" s="170"/>
      <c r="C137" s="35"/>
      <c r="D137" s="6"/>
      <c r="E137" s="6"/>
      <c r="F137" s="3" t="s">
        <v>143</v>
      </c>
      <c r="G137" s="6"/>
      <c r="L137" s="3"/>
      <c r="M137" s="3"/>
      <c r="N137" s="3"/>
      <c r="O137" s="3"/>
      <c r="P137" s="3"/>
    </row>
    <row r="138" spans="1:16">
      <c r="A138" s="170"/>
      <c r="C138" s="6"/>
      <c r="D138" s="6"/>
      <c r="E138" s="6"/>
      <c r="F138" s="3" t="s">
        <v>144</v>
      </c>
      <c r="G138" s="6"/>
      <c r="L138" s="3"/>
      <c r="M138" s="3"/>
      <c r="N138" s="3"/>
      <c r="O138" s="3"/>
      <c r="P138" s="3"/>
    </row>
    <row r="139" spans="1:16">
      <c r="A139" s="170"/>
      <c r="C139" s="6"/>
      <c r="D139" s="6"/>
      <c r="E139" s="6"/>
      <c r="F139" s="3" t="s">
        <v>145</v>
      </c>
      <c r="G139" s="6"/>
      <c r="L139" s="3"/>
      <c r="M139" s="3"/>
      <c r="N139" s="3"/>
      <c r="O139" s="3"/>
      <c r="P139" s="3"/>
    </row>
    <row r="140" spans="1:16">
      <c r="A140" s="170"/>
      <c r="C140" s="6"/>
      <c r="D140" s="6"/>
      <c r="E140" s="6"/>
      <c r="F140" s="3" t="s">
        <v>146</v>
      </c>
      <c r="G140" s="6"/>
      <c r="L140" s="3"/>
      <c r="M140" s="3"/>
      <c r="N140" s="3"/>
      <c r="O140" s="3"/>
      <c r="P140" s="3"/>
    </row>
    <row r="141" spans="1:16">
      <c r="A141" s="170"/>
      <c r="C141" s="6"/>
      <c r="D141" s="6"/>
      <c r="E141" s="6"/>
      <c r="F141" s="3" t="s">
        <v>147</v>
      </c>
      <c r="G141" s="6"/>
      <c r="L141" s="3"/>
      <c r="M141" s="3"/>
      <c r="N141" s="3"/>
      <c r="O141" s="3"/>
      <c r="P141" s="3"/>
    </row>
    <row r="142" spans="1:16">
      <c r="A142" s="170"/>
      <c r="C142" s="6"/>
      <c r="D142" s="6"/>
      <c r="E142" s="6"/>
      <c r="F142" s="3" t="s">
        <v>148</v>
      </c>
      <c r="G142" s="6"/>
      <c r="L142" s="3"/>
      <c r="M142" s="3"/>
      <c r="N142" s="3"/>
      <c r="O142" s="3"/>
      <c r="P142" s="3"/>
    </row>
    <row r="143" spans="1:16">
      <c r="A143" s="170"/>
      <c r="C143" s="6"/>
      <c r="D143" s="6"/>
      <c r="E143" s="6"/>
      <c r="F143" s="3" t="s">
        <v>149</v>
      </c>
      <c r="G143" s="6"/>
      <c r="L143" s="3"/>
      <c r="M143" s="3"/>
      <c r="N143" s="3"/>
      <c r="O143" s="3"/>
      <c r="P143" s="3"/>
    </row>
    <row r="144" spans="1:16">
      <c r="A144" s="170"/>
      <c r="C144" s="6"/>
      <c r="D144" s="6"/>
      <c r="E144" s="6"/>
      <c r="F144" s="3" t="s">
        <v>150</v>
      </c>
      <c r="G144" s="6"/>
      <c r="L144" s="3"/>
      <c r="M144" s="3"/>
      <c r="N144" s="3"/>
      <c r="O144" s="3"/>
      <c r="P144" s="3"/>
    </row>
    <row r="145" spans="1:16">
      <c r="A145" s="170"/>
      <c r="C145" s="6"/>
      <c r="D145" s="6"/>
      <c r="E145" s="6"/>
      <c r="F145" s="3" t="s">
        <v>151</v>
      </c>
      <c r="G145" s="6"/>
      <c r="L145" s="3"/>
      <c r="M145" s="3"/>
      <c r="N145" s="3"/>
      <c r="O145" s="3"/>
      <c r="P145" s="3"/>
    </row>
    <row r="146" spans="1:16">
      <c r="A146" s="170"/>
      <c r="C146" s="6"/>
      <c r="D146" s="6"/>
      <c r="E146" s="6"/>
      <c r="F146" s="3" t="s">
        <v>152</v>
      </c>
      <c r="G146" s="6"/>
      <c r="L146" s="3"/>
      <c r="M146" s="3"/>
      <c r="N146" s="3"/>
      <c r="O146" s="3"/>
      <c r="P146" s="3"/>
    </row>
    <row r="147" spans="1:16">
      <c r="A147" s="170"/>
      <c r="C147" s="6"/>
      <c r="D147" s="6"/>
      <c r="E147" s="6"/>
      <c r="F147" s="3" t="s">
        <v>153</v>
      </c>
      <c r="G147" s="6"/>
      <c r="L147" s="3"/>
      <c r="M147" s="3"/>
      <c r="N147" s="3"/>
      <c r="O147" s="3"/>
      <c r="P147" s="3"/>
    </row>
    <row r="148" spans="1:16">
      <c r="A148" s="170"/>
      <c r="C148" s="6"/>
      <c r="D148" s="6"/>
      <c r="E148" s="6"/>
      <c r="F148" s="3" t="s">
        <v>154</v>
      </c>
      <c r="G148" s="6"/>
      <c r="L148" s="3"/>
      <c r="M148" s="3"/>
      <c r="N148" s="3"/>
      <c r="O148" s="3"/>
      <c r="P148" s="3"/>
    </row>
    <row r="149" spans="1:16">
      <c r="A149" s="170"/>
      <c r="C149" s="6"/>
      <c r="D149" s="6"/>
      <c r="E149" s="6"/>
      <c r="F149" s="3" t="s">
        <v>155</v>
      </c>
      <c r="G149" s="6"/>
      <c r="L149" s="3"/>
      <c r="M149" s="3"/>
      <c r="N149" s="3"/>
      <c r="O149" s="3"/>
      <c r="P149" s="3"/>
    </row>
    <row r="150" spans="1:16">
      <c r="A150" s="170"/>
      <c r="C150" s="6"/>
      <c r="D150" s="6"/>
      <c r="E150" s="6"/>
      <c r="F150" s="3" t="s">
        <v>156</v>
      </c>
      <c r="G150" s="6"/>
      <c r="L150" s="3"/>
      <c r="M150" s="3"/>
      <c r="N150" s="3"/>
      <c r="O150" s="3"/>
      <c r="P150" s="3"/>
    </row>
    <row r="151" spans="1:16">
      <c r="A151" s="170"/>
      <c r="C151" s="6"/>
      <c r="D151" s="6"/>
      <c r="E151" s="6"/>
      <c r="F151" s="3" t="s">
        <v>157</v>
      </c>
      <c r="G151" s="6"/>
      <c r="L151" s="3"/>
      <c r="M151" s="3"/>
      <c r="N151" s="3"/>
      <c r="O151" s="3"/>
      <c r="P151" s="3"/>
    </row>
    <row r="152" spans="1:16">
      <c r="A152" s="170"/>
      <c r="C152" s="6"/>
      <c r="D152" s="6"/>
      <c r="E152" s="6"/>
      <c r="F152" s="3" t="s">
        <v>158</v>
      </c>
      <c r="G152" s="6"/>
      <c r="L152" s="3"/>
      <c r="M152" s="3"/>
      <c r="N152" s="3"/>
      <c r="O152" s="3"/>
      <c r="P152" s="3"/>
    </row>
    <row r="153" spans="1:16">
      <c r="A153" s="170"/>
      <c r="C153" s="6"/>
      <c r="D153" s="6"/>
      <c r="E153" s="6"/>
      <c r="F153" s="3" t="s">
        <v>159</v>
      </c>
      <c r="G153" s="6"/>
      <c r="L153" s="3"/>
      <c r="M153" s="3"/>
      <c r="N153" s="3"/>
      <c r="O153" s="3"/>
      <c r="P153" s="3"/>
    </row>
    <row r="154" spans="1:16">
      <c r="A154" s="170"/>
      <c r="C154" s="6"/>
      <c r="D154" s="6"/>
      <c r="E154" s="6"/>
      <c r="F154" s="3" t="s">
        <v>160</v>
      </c>
      <c r="G154" s="6"/>
      <c r="L154" s="3"/>
      <c r="M154" s="3"/>
      <c r="N154" s="3"/>
      <c r="O154" s="3"/>
      <c r="P154" s="3"/>
    </row>
    <row r="155" spans="1:16">
      <c r="A155" s="170"/>
      <c r="C155" s="6"/>
      <c r="D155" s="6"/>
      <c r="E155" s="6"/>
      <c r="F155" s="3" t="s">
        <v>161</v>
      </c>
      <c r="G155" s="6"/>
      <c r="L155" s="3"/>
      <c r="M155" s="3"/>
      <c r="N155" s="3"/>
      <c r="O155" s="3"/>
      <c r="P155" s="3"/>
    </row>
    <row r="156" spans="1:16">
      <c r="A156" s="170"/>
      <c r="C156" s="6"/>
      <c r="D156" s="6"/>
      <c r="E156" s="6"/>
      <c r="F156" s="3" t="s">
        <v>162</v>
      </c>
      <c r="G156" s="6"/>
      <c r="L156" s="3"/>
      <c r="M156" s="3"/>
      <c r="N156" s="3"/>
      <c r="O156" s="3"/>
      <c r="P156" s="3"/>
    </row>
    <row r="157" spans="1:16">
      <c r="A157" s="170"/>
      <c r="C157" s="6"/>
      <c r="D157" s="6"/>
      <c r="E157" s="6"/>
      <c r="F157" s="3" t="s">
        <v>163</v>
      </c>
      <c r="G157" s="6"/>
      <c r="H157" s="6"/>
      <c r="I157" s="6"/>
      <c r="J157" s="6"/>
      <c r="K157" s="3"/>
      <c r="L157" s="3"/>
      <c r="M157" s="3"/>
      <c r="N157" s="3"/>
      <c r="O157" s="3"/>
      <c r="P157" s="3"/>
    </row>
    <row r="158" spans="1:16">
      <c r="A158" s="170"/>
      <c r="C158" s="6"/>
      <c r="D158" s="6"/>
      <c r="E158" s="6"/>
      <c r="F158" s="3" t="s">
        <v>164</v>
      </c>
      <c r="G158" s="6"/>
      <c r="H158" s="6"/>
      <c r="I158" s="6"/>
      <c r="J158" s="6"/>
      <c r="K158" s="3"/>
      <c r="L158" s="3"/>
      <c r="M158" s="3"/>
      <c r="N158" s="3"/>
      <c r="O158" s="3"/>
      <c r="P158" s="3"/>
    </row>
    <row r="159" spans="1:16">
      <c r="A159" s="170"/>
      <c r="C159" s="6"/>
      <c r="D159" s="6"/>
      <c r="E159" s="6"/>
      <c r="F159" s="3" t="s">
        <v>165</v>
      </c>
      <c r="G159" s="6"/>
      <c r="H159" s="6"/>
      <c r="I159" s="6"/>
      <c r="J159" s="6"/>
      <c r="K159" s="3"/>
      <c r="L159" s="3"/>
      <c r="M159" s="3"/>
      <c r="N159" s="3"/>
      <c r="O159" s="3"/>
      <c r="P159" s="3"/>
    </row>
    <row r="160" spans="1:16">
      <c r="A160" s="170"/>
      <c r="C160" s="6"/>
      <c r="D160" s="6"/>
      <c r="E160" s="6"/>
      <c r="F160" s="3" t="s">
        <v>166</v>
      </c>
      <c r="G160" s="6"/>
      <c r="H160" s="6"/>
      <c r="I160" s="6"/>
      <c r="J160" s="6"/>
      <c r="K160" s="3"/>
      <c r="L160" s="3"/>
      <c r="M160" s="3"/>
      <c r="N160" s="3"/>
      <c r="O160" s="3"/>
      <c r="P160" s="3"/>
    </row>
    <row r="161" spans="1:16">
      <c r="A161" s="170"/>
      <c r="C161" s="6"/>
      <c r="D161" s="6"/>
      <c r="E161" s="6"/>
      <c r="F161" s="3" t="s">
        <v>167</v>
      </c>
      <c r="G161" s="6"/>
      <c r="H161" s="6"/>
      <c r="I161" s="6"/>
      <c r="J161" s="6"/>
      <c r="K161" s="3"/>
      <c r="L161" s="3"/>
      <c r="M161" s="3"/>
      <c r="N161" s="3"/>
      <c r="O161" s="3"/>
      <c r="P161" s="3"/>
    </row>
    <row r="162" spans="1:16">
      <c r="A162" s="170"/>
      <c r="C162" s="6"/>
      <c r="D162" s="6"/>
      <c r="E162" s="6"/>
      <c r="F162" s="3" t="s">
        <v>168</v>
      </c>
      <c r="G162" s="6"/>
      <c r="H162" s="6"/>
      <c r="I162" s="6"/>
      <c r="J162" s="6"/>
      <c r="K162" s="3"/>
      <c r="L162" s="3"/>
      <c r="M162" s="3"/>
      <c r="N162" s="3"/>
      <c r="O162" s="3"/>
      <c r="P162" s="3"/>
    </row>
    <row r="163" spans="1:16">
      <c r="A163" s="170"/>
      <c r="C163" s="6"/>
      <c r="D163" s="6"/>
      <c r="E163" s="6"/>
      <c r="F163" s="3" t="s">
        <v>169</v>
      </c>
      <c r="G163" s="6"/>
      <c r="H163" s="6"/>
      <c r="I163" s="6"/>
      <c r="J163" s="6"/>
      <c r="K163" s="3"/>
      <c r="L163" s="3"/>
      <c r="M163" s="3"/>
      <c r="N163" s="3"/>
      <c r="O163" s="3"/>
      <c r="P163" s="3"/>
    </row>
    <row r="164" spans="1:16">
      <c r="A164" s="170"/>
      <c r="C164" s="6"/>
      <c r="D164" s="6"/>
      <c r="E164" s="6"/>
      <c r="F164" s="3" t="s">
        <v>170</v>
      </c>
      <c r="G164" s="6"/>
      <c r="H164" s="6"/>
      <c r="I164" s="6"/>
      <c r="J164" s="6"/>
      <c r="K164" s="3"/>
      <c r="L164" s="3"/>
      <c r="M164" s="3"/>
      <c r="N164" s="3"/>
      <c r="O164" s="3"/>
      <c r="P164" s="3"/>
    </row>
    <row r="165" spans="1:16">
      <c r="A165" s="170"/>
      <c r="C165" s="6"/>
      <c r="D165" s="6"/>
      <c r="E165" s="6"/>
      <c r="F165" s="3" t="s">
        <v>171</v>
      </c>
      <c r="G165" s="6"/>
      <c r="H165" s="6"/>
      <c r="I165" s="6"/>
      <c r="J165" s="6"/>
      <c r="K165" s="3"/>
      <c r="L165" s="3"/>
      <c r="M165" s="3"/>
      <c r="N165" s="3"/>
      <c r="O165" s="3"/>
      <c r="P165" s="3"/>
    </row>
    <row r="166" spans="1:16">
      <c r="A166" s="170"/>
      <c r="C166" s="6"/>
      <c r="D166" s="6"/>
      <c r="E166" s="6"/>
      <c r="F166" s="3" t="s">
        <v>172</v>
      </c>
      <c r="G166" s="6"/>
      <c r="H166" s="6"/>
      <c r="I166" s="6"/>
      <c r="J166" s="6"/>
      <c r="K166" s="3"/>
      <c r="L166" s="3"/>
      <c r="M166" s="3"/>
      <c r="N166" s="3"/>
      <c r="O166" s="3"/>
      <c r="P166" s="3"/>
    </row>
    <row r="167" spans="1:16">
      <c r="A167" s="170"/>
      <c r="C167" s="6"/>
      <c r="D167" s="6"/>
      <c r="E167" s="6"/>
      <c r="F167" s="3" t="s">
        <v>173</v>
      </c>
      <c r="G167" s="6"/>
      <c r="H167" s="6"/>
      <c r="I167" s="6"/>
      <c r="J167" s="6"/>
      <c r="K167" s="3"/>
      <c r="L167" s="3"/>
      <c r="M167" s="3"/>
      <c r="N167" s="3"/>
      <c r="O167" s="3"/>
      <c r="P167" s="3"/>
    </row>
    <row r="168" spans="1:16">
      <c r="A168" s="170"/>
      <c r="C168" s="6"/>
      <c r="D168" s="6"/>
      <c r="E168" s="6"/>
      <c r="F168" s="3" t="s">
        <v>174</v>
      </c>
      <c r="G168" s="6"/>
      <c r="H168" s="6"/>
      <c r="I168" s="6"/>
      <c r="J168" s="6"/>
      <c r="K168" s="3"/>
      <c r="L168" s="3"/>
      <c r="M168" s="3"/>
      <c r="N168" s="3"/>
      <c r="O168" s="3"/>
      <c r="P168" s="3"/>
    </row>
    <row r="169" spans="1:16">
      <c r="A169" s="170"/>
      <c r="C169" s="6"/>
      <c r="D169" s="6"/>
      <c r="E169" s="6"/>
      <c r="F169" s="3" t="s">
        <v>175</v>
      </c>
      <c r="G169" s="6"/>
      <c r="H169" s="6"/>
      <c r="I169" s="6"/>
      <c r="J169" s="6"/>
      <c r="K169" s="3"/>
      <c r="L169" s="3"/>
      <c r="M169" s="3"/>
      <c r="N169" s="3"/>
      <c r="O169" s="3"/>
      <c r="P169" s="3"/>
    </row>
    <row r="170" spans="1:16">
      <c r="A170" s="170"/>
      <c r="C170" s="6"/>
      <c r="D170" s="6"/>
      <c r="E170" s="6"/>
      <c r="F170" s="3" t="s">
        <v>176</v>
      </c>
      <c r="G170" s="6"/>
      <c r="H170" s="6"/>
      <c r="I170" s="6"/>
      <c r="J170" s="6"/>
      <c r="K170" s="3"/>
      <c r="L170" s="3"/>
      <c r="M170" s="3"/>
      <c r="N170" s="3"/>
      <c r="O170" s="3"/>
      <c r="P170" s="3"/>
    </row>
    <row r="171" spans="1:16">
      <c r="A171" s="170"/>
      <c r="C171" s="6"/>
      <c r="D171" s="6"/>
      <c r="E171" s="6"/>
      <c r="F171" s="3" t="s">
        <v>177</v>
      </c>
      <c r="G171" s="6"/>
      <c r="H171" s="6"/>
      <c r="I171" s="6"/>
      <c r="J171" s="6"/>
      <c r="K171" s="3"/>
      <c r="L171" s="3"/>
      <c r="M171" s="3"/>
      <c r="N171" s="3"/>
      <c r="O171" s="3"/>
      <c r="P171" s="3"/>
    </row>
    <row r="172" spans="1:16">
      <c r="A172" s="170"/>
      <c r="C172" s="6"/>
      <c r="D172" s="6"/>
      <c r="E172" s="6"/>
      <c r="F172" s="3" t="s">
        <v>178</v>
      </c>
      <c r="G172" s="6"/>
      <c r="H172" s="6"/>
      <c r="I172" s="6"/>
      <c r="J172" s="6"/>
      <c r="K172" s="3"/>
      <c r="L172" s="3"/>
      <c r="M172" s="3"/>
      <c r="N172" s="3"/>
      <c r="O172" s="3"/>
      <c r="P172" s="3"/>
    </row>
    <row r="173" spans="1:16">
      <c r="A173" s="170"/>
      <c r="C173" s="6"/>
      <c r="D173" s="6"/>
      <c r="E173" s="6"/>
      <c r="F173" s="3" t="s">
        <v>179</v>
      </c>
      <c r="G173" s="6"/>
      <c r="H173" s="6"/>
      <c r="I173" s="6"/>
      <c r="J173" s="6"/>
      <c r="K173" s="3"/>
      <c r="L173" s="3"/>
      <c r="M173" s="3"/>
      <c r="N173" s="3"/>
      <c r="O173" s="3"/>
      <c r="P173" s="3"/>
    </row>
    <row r="174" spans="1:16">
      <c r="A174" s="170"/>
      <c r="C174" s="6"/>
      <c r="D174" s="6"/>
      <c r="E174" s="6"/>
      <c r="F174" s="3" t="s">
        <v>180</v>
      </c>
      <c r="G174" s="6"/>
      <c r="H174" s="6"/>
      <c r="I174" s="6"/>
      <c r="J174" s="6"/>
      <c r="K174" s="3"/>
      <c r="L174" s="3"/>
      <c r="M174" s="3"/>
      <c r="N174" s="3"/>
      <c r="O174" s="3"/>
      <c r="P174" s="3"/>
    </row>
    <row r="175" spans="1:16">
      <c r="A175" s="170"/>
      <c r="C175" s="6"/>
      <c r="D175" s="6"/>
      <c r="E175" s="6"/>
      <c r="F175" s="3" t="s">
        <v>181</v>
      </c>
      <c r="G175" s="6"/>
      <c r="H175" s="6"/>
      <c r="I175" s="6"/>
      <c r="J175" s="6"/>
      <c r="K175" s="3"/>
      <c r="L175" s="3"/>
      <c r="M175" s="3"/>
      <c r="N175" s="3"/>
      <c r="O175" s="3"/>
      <c r="P175" s="3"/>
    </row>
    <row r="176" spans="1:16">
      <c r="A176" s="170"/>
      <c r="C176" s="6"/>
      <c r="D176" s="6"/>
      <c r="E176" s="6"/>
      <c r="F176" s="3" t="s">
        <v>182</v>
      </c>
      <c r="G176" s="6"/>
      <c r="H176" s="6"/>
      <c r="I176" s="6"/>
      <c r="J176" s="6"/>
      <c r="K176" s="3"/>
      <c r="L176" s="3"/>
      <c r="M176" s="3"/>
      <c r="N176" s="3"/>
      <c r="O176" s="3"/>
      <c r="P176" s="3"/>
    </row>
    <row r="177" spans="1:16">
      <c r="A177" s="170"/>
      <c r="C177" s="6"/>
      <c r="D177" s="6"/>
      <c r="E177" s="6"/>
      <c r="F177" s="3" t="s">
        <v>183</v>
      </c>
      <c r="G177" s="6"/>
      <c r="H177" s="6"/>
      <c r="I177" s="6"/>
      <c r="J177" s="6"/>
      <c r="K177" s="3"/>
      <c r="L177" s="3"/>
      <c r="M177" s="3"/>
      <c r="N177" s="3"/>
      <c r="O177" s="3"/>
      <c r="P177" s="3"/>
    </row>
    <row r="178" spans="1:16">
      <c r="A178" s="170"/>
      <c r="C178" s="6"/>
      <c r="D178" s="6"/>
      <c r="E178" s="6"/>
      <c r="F178" s="3" t="s">
        <v>184</v>
      </c>
      <c r="G178" s="6"/>
      <c r="H178" s="6"/>
      <c r="I178" s="6"/>
      <c r="J178" s="6"/>
      <c r="K178" s="3"/>
      <c r="L178" s="3"/>
      <c r="M178" s="3"/>
      <c r="N178" s="3"/>
      <c r="O178" s="3"/>
      <c r="P178" s="3"/>
    </row>
    <row r="179" spans="1:16">
      <c r="A179" s="170"/>
      <c r="C179" s="6"/>
      <c r="D179" s="6"/>
      <c r="E179" s="6"/>
      <c r="F179" s="3" t="s">
        <v>185</v>
      </c>
      <c r="G179" s="6"/>
      <c r="H179" s="6"/>
      <c r="I179" s="6"/>
      <c r="J179" s="6"/>
      <c r="K179" s="3"/>
      <c r="L179" s="3"/>
      <c r="M179" s="3"/>
      <c r="N179" s="3"/>
      <c r="O179" s="3"/>
      <c r="P179" s="3"/>
    </row>
    <row r="180" spans="1:16">
      <c r="A180" s="170"/>
      <c r="C180" s="6"/>
      <c r="D180" s="6"/>
      <c r="E180" s="6"/>
      <c r="F180" s="3" t="s">
        <v>186</v>
      </c>
      <c r="G180" s="6"/>
      <c r="H180" s="6"/>
      <c r="I180" s="6"/>
      <c r="J180" s="6"/>
      <c r="K180" s="3"/>
      <c r="L180" s="3"/>
      <c r="M180" s="3"/>
      <c r="N180" s="3"/>
      <c r="O180" s="3"/>
      <c r="P180" s="3"/>
    </row>
    <row r="181" spans="1:16">
      <c r="A181" s="170"/>
      <c r="C181" s="6"/>
      <c r="D181" s="6"/>
      <c r="E181" s="6"/>
      <c r="F181" s="3" t="s">
        <v>187</v>
      </c>
      <c r="G181" s="6"/>
      <c r="H181" s="6"/>
      <c r="I181" s="6"/>
      <c r="J181" s="6"/>
      <c r="K181" s="3"/>
      <c r="L181" s="3"/>
      <c r="M181" s="3"/>
      <c r="N181" s="3"/>
      <c r="O181" s="3"/>
      <c r="P181" s="3"/>
    </row>
    <row r="182" spans="1:16">
      <c r="A182" s="170"/>
      <c r="C182" s="6"/>
      <c r="D182" s="6"/>
      <c r="E182" s="6"/>
      <c r="F182" s="3" t="s">
        <v>188</v>
      </c>
      <c r="G182" s="6"/>
      <c r="H182" s="6"/>
      <c r="I182" s="6"/>
      <c r="J182" s="6"/>
      <c r="K182" s="3"/>
      <c r="L182" s="3"/>
      <c r="M182" s="3"/>
      <c r="N182" s="3"/>
      <c r="O182" s="3"/>
      <c r="P182" s="3"/>
    </row>
    <row r="183" spans="1:16">
      <c r="A183" s="170"/>
      <c r="C183" s="6"/>
      <c r="D183" s="6"/>
      <c r="E183" s="6"/>
      <c r="F183" s="3" t="s">
        <v>189</v>
      </c>
      <c r="G183" s="6"/>
      <c r="H183" s="6"/>
      <c r="I183" s="6"/>
      <c r="J183" s="6"/>
      <c r="K183" s="3"/>
      <c r="L183" s="3"/>
      <c r="M183" s="3"/>
      <c r="N183" s="3"/>
      <c r="O183" s="3"/>
      <c r="P183" s="3"/>
    </row>
    <row r="184" spans="1:16">
      <c r="A184" s="170"/>
      <c r="C184" s="6"/>
      <c r="D184" s="6"/>
      <c r="E184" s="6"/>
      <c r="F184" s="3" t="s">
        <v>190</v>
      </c>
      <c r="G184" s="6"/>
      <c r="H184" s="6"/>
      <c r="I184" s="6"/>
      <c r="J184" s="6"/>
      <c r="K184" s="3"/>
      <c r="L184" s="3"/>
      <c r="M184" s="3"/>
      <c r="N184" s="3"/>
      <c r="O184" s="3"/>
      <c r="P184" s="3"/>
    </row>
    <row r="185" spans="1:16">
      <c r="A185" s="170"/>
      <c r="C185" s="6"/>
      <c r="D185" s="6"/>
      <c r="E185" s="6"/>
      <c r="F185" s="3" t="s">
        <v>191</v>
      </c>
      <c r="G185" s="6"/>
      <c r="H185" s="6"/>
      <c r="I185" s="6"/>
      <c r="J185" s="6"/>
      <c r="K185" s="3"/>
      <c r="L185" s="3"/>
      <c r="M185" s="3"/>
      <c r="N185" s="3"/>
      <c r="O185" s="3"/>
      <c r="P185" s="3"/>
    </row>
    <row r="186" spans="1:16">
      <c r="A186" s="170"/>
      <c r="C186" s="6"/>
      <c r="D186" s="6"/>
      <c r="E186" s="6"/>
      <c r="F186" s="3" t="s">
        <v>192</v>
      </c>
      <c r="G186" s="6"/>
      <c r="H186" s="6"/>
      <c r="I186" s="6"/>
      <c r="J186" s="6"/>
      <c r="K186" s="3"/>
      <c r="L186" s="3"/>
      <c r="M186" s="3"/>
      <c r="N186" s="3"/>
      <c r="O186" s="3"/>
      <c r="P186" s="3"/>
    </row>
    <row r="187" spans="1:16">
      <c r="A187" s="170"/>
      <c r="C187" s="6"/>
      <c r="D187" s="6"/>
      <c r="E187" s="6"/>
      <c r="F187" s="3" t="s">
        <v>193</v>
      </c>
      <c r="G187" s="6"/>
      <c r="H187" s="6"/>
      <c r="I187" s="6"/>
      <c r="J187" s="6"/>
      <c r="K187" s="3"/>
      <c r="L187" s="3"/>
      <c r="M187" s="3"/>
      <c r="N187" s="3"/>
      <c r="O187" s="3"/>
      <c r="P187" s="3"/>
    </row>
    <row r="188" spans="1:16">
      <c r="A188" s="170"/>
      <c r="C188" s="6"/>
      <c r="D188" s="6"/>
      <c r="E188" s="6"/>
      <c r="F188" s="3" t="s">
        <v>194</v>
      </c>
      <c r="G188" s="6"/>
      <c r="H188" s="6"/>
      <c r="I188" s="6"/>
      <c r="J188" s="6"/>
      <c r="K188" s="3"/>
      <c r="L188" s="3"/>
      <c r="M188" s="3"/>
      <c r="N188" s="3"/>
      <c r="O188" s="3"/>
      <c r="P188" s="3"/>
    </row>
    <row r="189" spans="1:16">
      <c r="A189" s="170"/>
      <c r="C189" s="6"/>
      <c r="D189" s="6"/>
      <c r="E189" s="6"/>
      <c r="F189" s="3" t="s">
        <v>195</v>
      </c>
      <c r="G189" s="6"/>
      <c r="H189" s="6"/>
      <c r="I189" s="6"/>
      <c r="J189" s="6"/>
      <c r="K189" s="3"/>
      <c r="L189" s="3"/>
      <c r="M189" s="3"/>
      <c r="N189" s="3"/>
      <c r="O189" s="3"/>
      <c r="P189" s="3"/>
    </row>
    <row r="190" spans="1:16">
      <c r="A190" s="170"/>
      <c r="C190" s="6"/>
      <c r="D190" s="6"/>
      <c r="E190" s="6"/>
      <c r="F190" s="3" t="s">
        <v>196</v>
      </c>
      <c r="G190" s="6"/>
      <c r="H190" s="6"/>
      <c r="I190" s="6"/>
      <c r="J190" s="6"/>
      <c r="K190" s="3"/>
      <c r="L190" s="3"/>
      <c r="M190" s="3"/>
      <c r="N190" s="3"/>
      <c r="O190" s="3"/>
      <c r="P190" s="3"/>
    </row>
    <row r="191" spans="1:16">
      <c r="A191" s="170"/>
      <c r="C191" s="6"/>
      <c r="D191" s="6"/>
      <c r="E191" s="6"/>
      <c r="F191" s="3" t="s">
        <v>197</v>
      </c>
      <c r="G191" s="6"/>
      <c r="H191" s="6"/>
      <c r="I191" s="6"/>
      <c r="J191" s="6"/>
      <c r="K191" s="3"/>
      <c r="L191" s="3"/>
      <c r="M191" s="3"/>
      <c r="N191" s="3"/>
      <c r="O191" s="3"/>
      <c r="P191" s="3"/>
    </row>
    <row r="192" spans="1:16">
      <c r="A192" s="170"/>
      <c r="C192" s="6"/>
      <c r="D192" s="6"/>
      <c r="E192" s="6"/>
      <c r="F192" s="3" t="s">
        <v>198</v>
      </c>
      <c r="G192" s="6"/>
      <c r="H192" s="6"/>
      <c r="I192" s="6"/>
      <c r="J192" s="6"/>
      <c r="K192" s="3"/>
      <c r="L192" s="3"/>
      <c r="M192" s="3"/>
      <c r="N192" s="3"/>
      <c r="O192" s="3"/>
      <c r="P192" s="3"/>
    </row>
    <row r="193" spans="1:16">
      <c r="A193" s="170"/>
      <c r="C193" s="6"/>
      <c r="D193" s="6"/>
      <c r="E193" s="6"/>
      <c r="F193" s="3" t="s">
        <v>199</v>
      </c>
      <c r="G193" s="6"/>
      <c r="H193" s="6"/>
      <c r="I193" s="6"/>
      <c r="J193" s="6"/>
      <c r="K193" s="3"/>
      <c r="L193" s="3"/>
      <c r="M193" s="3"/>
      <c r="N193" s="3"/>
      <c r="O193" s="3"/>
      <c r="P193" s="3"/>
    </row>
    <row r="194" spans="1:16">
      <c r="A194" s="170"/>
      <c r="C194" s="6"/>
      <c r="D194" s="6"/>
      <c r="E194" s="6"/>
      <c r="F194" s="3" t="s">
        <v>200</v>
      </c>
      <c r="G194" s="6"/>
      <c r="H194" s="6"/>
      <c r="I194" s="6"/>
      <c r="J194" s="6"/>
      <c r="K194" s="3"/>
      <c r="L194" s="3"/>
      <c r="M194" s="3"/>
      <c r="N194" s="3"/>
      <c r="O194" s="3"/>
      <c r="P194" s="3"/>
    </row>
    <row r="195" spans="1:16">
      <c r="A195" s="170"/>
      <c r="C195" s="6"/>
      <c r="D195" s="6"/>
      <c r="E195" s="6"/>
      <c r="F195" s="3" t="s">
        <v>201</v>
      </c>
      <c r="G195" s="6"/>
      <c r="H195" s="6"/>
      <c r="I195" s="6"/>
      <c r="J195" s="6"/>
      <c r="K195" s="3"/>
      <c r="L195" s="3"/>
      <c r="M195" s="3"/>
      <c r="N195" s="3"/>
      <c r="O195" s="3"/>
      <c r="P195" s="3"/>
    </row>
    <row r="196" spans="1:16">
      <c r="A196" s="170"/>
      <c r="C196" s="6"/>
      <c r="D196" s="6"/>
      <c r="E196" s="6"/>
      <c r="F196" s="3" t="s">
        <v>202</v>
      </c>
      <c r="G196" s="6"/>
      <c r="H196" s="6"/>
      <c r="I196" s="6"/>
      <c r="J196" s="6"/>
      <c r="K196" s="3"/>
      <c r="L196" s="3"/>
      <c r="M196" s="3"/>
      <c r="N196" s="3"/>
      <c r="O196" s="3"/>
      <c r="P196" s="3"/>
    </row>
    <row r="197" spans="1:16">
      <c r="A197" s="170"/>
      <c r="C197" s="6"/>
      <c r="D197" s="6"/>
      <c r="E197" s="6"/>
      <c r="F197" s="3" t="s">
        <v>203</v>
      </c>
      <c r="G197" s="6"/>
      <c r="H197" s="6"/>
      <c r="I197" s="6"/>
      <c r="J197" s="6"/>
      <c r="K197" s="3"/>
      <c r="L197" s="3"/>
      <c r="M197" s="3"/>
      <c r="N197" s="3"/>
      <c r="O197" s="3"/>
      <c r="P197" s="3"/>
    </row>
    <row r="198" spans="1:16">
      <c r="A198" s="170"/>
      <c r="C198" s="6"/>
      <c r="D198" s="6"/>
      <c r="E198" s="6"/>
      <c r="F198" s="3" t="s">
        <v>204</v>
      </c>
      <c r="G198" s="6"/>
      <c r="H198" s="6"/>
      <c r="I198" s="6"/>
      <c r="J198" s="6"/>
      <c r="K198" s="3"/>
      <c r="L198" s="3"/>
      <c r="M198" s="3"/>
      <c r="N198" s="3"/>
      <c r="O198" s="3"/>
      <c r="P198" s="3"/>
    </row>
    <row r="199" spans="1:16">
      <c r="A199" s="170"/>
      <c r="C199" s="6"/>
      <c r="D199" s="6"/>
      <c r="E199" s="6"/>
      <c r="F199" s="3" t="s">
        <v>205</v>
      </c>
      <c r="G199" s="6"/>
      <c r="H199" s="6"/>
      <c r="I199" s="6"/>
      <c r="J199" s="6"/>
      <c r="K199" s="3"/>
      <c r="L199" s="3"/>
      <c r="M199" s="3"/>
      <c r="N199" s="3"/>
      <c r="O199" s="3"/>
      <c r="P199" s="3"/>
    </row>
    <row r="200" spans="1:16">
      <c r="A200" s="170"/>
      <c r="C200" s="6"/>
      <c r="D200" s="6"/>
      <c r="E200" s="6"/>
      <c r="F200" s="3" t="s">
        <v>206</v>
      </c>
      <c r="G200" s="6"/>
      <c r="H200" s="6"/>
      <c r="I200" s="6"/>
      <c r="J200" s="6"/>
      <c r="K200" s="3"/>
      <c r="L200" s="3"/>
      <c r="M200" s="3"/>
      <c r="N200" s="3"/>
      <c r="O200" s="3"/>
      <c r="P200" s="3"/>
    </row>
    <row r="201" spans="1:16">
      <c r="A201" s="170"/>
      <c r="C201" s="6"/>
      <c r="D201" s="6"/>
      <c r="E201" s="6"/>
      <c r="F201" s="3" t="s">
        <v>207</v>
      </c>
      <c r="G201" s="6"/>
      <c r="H201" s="6"/>
      <c r="I201" s="6"/>
      <c r="J201" s="6"/>
      <c r="K201" s="3"/>
      <c r="L201" s="3"/>
      <c r="M201" s="3"/>
      <c r="N201" s="3"/>
      <c r="O201" s="3"/>
      <c r="P201" s="3"/>
    </row>
    <row r="202" spans="1:16">
      <c r="A202" s="170"/>
      <c r="C202" s="6"/>
      <c r="D202" s="6"/>
      <c r="E202" s="6"/>
      <c r="F202" s="3" t="s">
        <v>208</v>
      </c>
      <c r="G202" s="6"/>
      <c r="H202" s="6"/>
      <c r="I202" s="6"/>
      <c r="J202" s="6"/>
      <c r="K202" s="3"/>
      <c r="L202" s="3"/>
      <c r="M202" s="3"/>
      <c r="N202" s="3"/>
      <c r="O202" s="3"/>
      <c r="P202" s="3"/>
    </row>
    <row r="203" spans="1:16">
      <c r="A203" s="170"/>
      <c r="C203" s="6"/>
      <c r="D203" s="6"/>
      <c r="E203" s="6"/>
      <c r="F203" s="3" t="s">
        <v>209</v>
      </c>
      <c r="G203" s="6"/>
      <c r="H203" s="6"/>
      <c r="I203" s="6"/>
      <c r="J203" s="6"/>
      <c r="K203" s="3"/>
      <c r="L203" s="3"/>
      <c r="M203" s="3"/>
      <c r="N203" s="3"/>
      <c r="O203" s="3"/>
      <c r="P203" s="3"/>
    </row>
    <row r="204" spans="1:16">
      <c r="A204" s="170"/>
      <c r="C204" s="6"/>
      <c r="D204" s="6"/>
      <c r="E204" s="6"/>
      <c r="F204" s="3" t="s">
        <v>210</v>
      </c>
      <c r="G204" s="6"/>
      <c r="H204" s="6"/>
      <c r="I204" s="6"/>
      <c r="J204" s="6"/>
      <c r="K204" s="3"/>
      <c r="L204" s="3"/>
      <c r="M204" s="3"/>
      <c r="N204" s="3"/>
      <c r="O204" s="3"/>
      <c r="P204" s="3"/>
    </row>
    <row r="205" spans="1:16">
      <c r="A205" s="170"/>
      <c r="C205" s="6"/>
      <c r="D205" s="6"/>
      <c r="E205" s="6"/>
      <c r="F205" s="3" t="s">
        <v>211</v>
      </c>
      <c r="G205" s="6"/>
      <c r="H205" s="6"/>
      <c r="I205" s="6"/>
      <c r="J205" s="6"/>
      <c r="K205" s="3"/>
      <c r="L205" s="3"/>
      <c r="M205" s="3"/>
      <c r="N205" s="3"/>
      <c r="O205" s="3"/>
      <c r="P205" s="3"/>
    </row>
    <row r="206" spans="1:16">
      <c r="A206" s="170"/>
      <c r="C206" s="6"/>
      <c r="D206" s="6"/>
      <c r="E206" s="6"/>
      <c r="F206" s="3" t="s">
        <v>212</v>
      </c>
      <c r="G206" s="6"/>
      <c r="H206" s="6"/>
      <c r="I206" s="6"/>
      <c r="J206" s="6"/>
      <c r="K206" s="3"/>
      <c r="L206" s="3"/>
      <c r="M206" s="3"/>
      <c r="N206" s="3"/>
      <c r="O206" s="3"/>
      <c r="P206" s="3"/>
    </row>
    <row r="207" spans="1:16">
      <c r="A207" s="170"/>
      <c r="C207" s="6"/>
      <c r="D207" s="6"/>
      <c r="E207" s="6"/>
      <c r="F207" s="3" t="s">
        <v>213</v>
      </c>
      <c r="G207" s="6"/>
      <c r="H207" s="6"/>
      <c r="I207" s="6"/>
      <c r="J207" s="6"/>
      <c r="K207" s="3"/>
      <c r="L207" s="3"/>
      <c r="M207" s="3"/>
      <c r="N207" s="3"/>
      <c r="O207" s="3"/>
      <c r="P207" s="3"/>
    </row>
    <row r="208" spans="1:16">
      <c r="A208" s="170"/>
      <c r="C208" s="6"/>
      <c r="D208" s="6"/>
      <c r="E208" s="6"/>
      <c r="F208" s="3" t="s">
        <v>214</v>
      </c>
      <c r="G208" s="6"/>
      <c r="H208" s="6"/>
      <c r="I208" s="6"/>
      <c r="J208" s="6"/>
      <c r="K208" s="3"/>
      <c r="L208" s="3"/>
      <c r="M208" s="3"/>
      <c r="N208" s="3"/>
      <c r="O208" s="3"/>
      <c r="P208" s="3"/>
    </row>
    <row r="209" spans="1:16">
      <c r="A209" s="170"/>
      <c r="C209" s="6"/>
      <c r="D209" s="6"/>
      <c r="E209" s="6"/>
      <c r="F209" s="3" t="s">
        <v>215</v>
      </c>
      <c r="G209" s="6"/>
      <c r="H209" s="6"/>
      <c r="I209" s="6"/>
      <c r="J209" s="6"/>
      <c r="K209" s="3"/>
      <c r="L209" s="3"/>
      <c r="M209" s="3"/>
      <c r="N209" s="3"/>
      <c r="O209" s="3"/>
      <c r="P209" s="3"/>
    </row>
    <row r="210" spans="1:16">
      <c r="A210" s="170"/>
      <c r="C210" s="6"/>
      <c r="D210" s="6"/>
      <c r="E210" s="6"/>
      <c r="F210" s="3" t="s">
        <v>216</v>
      </c>
      <c r="G210" s="6"/>
      <c r="H210" s="6"/>
      <c r="I210" s="6"/>
      <c r="J210" s="6"/>
      <c r="K210" s="3"/>
      <c r="L210" s="3"/>
      <c r="M210" s="3"/>
      <c r="N210" s="3"/>
      <c r="O210" s="3"/>
      <c r="P210" s="3"/>
    </row>
    <row r="211" spans="1:16">
      <c r="A211" s="170"/>
      <c r="C211" s="6"/>
      <c r="D211" s="6"/>
      <c r="E211" s="6"/>
      <c r="F211" s="3" t="s">
        <v>217</v>
      </c>
      <c r="G211" s="6"/>
      <c r="H211" s="6"/>
      <c r="I211" s="6"/>
      <c r="J211" s="6"/>
      <c r="K211" s="3"/>
      <c r="L211" s="3"/>
      <c r="M211" s="3"/>
      <c r="N211" s="3"/>
      <c r="O211" s="3"/>
      <c r="P211" s="3"/>
    </row>
    <row r="212" spans="1:16">
      <c r="A212" s="170"/>
      <c r="C212" s="6"/>
      <c r="D212" s="6"/>
      <c r="E212" s="6"/>
      <c r="F212" s="3" t="s">
        <v>218</v>
      </c>
      <c r="G212" s="6"/>
      <c r="H212" s="6"/>
      <c r="I212" s="6"/>
      <c r="J212" s="6"/>
      <c r="K212" s="3"/>
      <c r="L212" s="3"/>
      <c r="M212" s="3"/>
      <c r="N212" s="3"/>
      <c r="O212" s="3"/>
      <c r="P212" s="3"/>
    </row>
    <row r="213" spans="1:16">
      <c r="A213" s="170"/>
      <c r="C213" s="6"/>
      <c r="D213" s="6"/>
      <c r="E213" s="6"/>
      <c r="F213" s="3" t="s">
        <v>219</v>
      </c>
      <c r="G213" s="6"/>
      <c r="H213" s="6"/>
      <c r="I213" s="6"/>
      <c r="J213" s="6"/>
      <c r="K213" s="3"/>
      <c r="L213" s="3"/>
      <c r="M213" s="3"/>
      <c r="N213" s="3"/>
      <c r="O213" s="3"/>
      <c r="P213" s="3"/>
    </row>
    <row r="214" spans="1:16">
      <c r="A214" s="170"/>
      <c r="C214" s="6"/>
      <c r="D214" s="6"/>
      <c r="E214" s="6"/>
      <c r="F214" s="3" t="s">
        <v>220</v>
      </c>
      <c r="G214" s="6"/>
      <c r="H214" s="6"/>
      <c r="I214" s="6"/>
      <c r="J214" s="6"/>
      <c r="K214" s="3"/>
      <c r="L214" s="3"/>
      <c r="M214" s="3"/>
      <c r="N214" s="3"/>
      <c r="O214" s="3"/>
      <c r="P214" s="3"/>
    </row>
    <row r="215" spans="1:16">
      <c r="A215" s="170"/>
      <c r="C215" s="6"/>
      <c r="D215" s="6"/>
      <c r="E215" s="6"/>
      <c r="F215" s="3" t="s">
        <v>221</v>
      </c>
      <c r="G215" s="6"/>
      <c r="H215" s="6"/>
      <c r="I215" s="6"/>
      <c r="J215" s="6"/>
      <c r="K215" s="3"/>
      <c r="L215" s="3"/>
      <c r="M215" s="3"/>
      <c r="N215" s="3"/>
      <c r="O215" s="3"/>
      <c r="P215" s="3"/>
    </row>
    <row r="216" spans="1:16">
      <c r="A216" s="170"/>
      <c r="C216" s="6"/>
      <c r="D216" s="6"/>
      <c r="E216" s="6"/>
      <c r="F216" s="3" t="s">
        <v>222</v>
      </c>
      <c r="G216" s="6"/>
      <c r="H216" s="6"/>
      <c r="I216" s="6"/>
      <c r="J216" s="6"/>
      <c r="K216" s="3"/>
      <c r="L216" s="3"/>
      <c r="M216" s="3"/>
      <c r="N216" s="3"/>
      <c r="O216" s="3"/>
      <c r="P216" s="3"/>
    </row>
    <row r="217" spans="1:16">
      <c r="A217" s="170"/>
      <c r="C217" s="6"/>
      <c r="D217" s="6"/>
      <c r="E217" s="6"/>
      <c r="F217" s="3" t="s">
        <v>223</v>
      </c>
      <c r="G217" s="6"/>
      <c r="H217" s="6"/>
      <c r="I217" s="6"/>
      <c r="J217" s="6"/>
      <c r="K217" s="3"/>
      <c r="L217" s="3"/>
      <c r="M217" s="3"/>
      <c r="N217" s="3"/>
      <c r="O217" s="3"/>
      <c r="P217" s="3"/>
    </row>
    <row r="218" spans="1:16">
      <c r="A218" s="170"/>
      <c r="C218" s="6"/>
      <c r="D218" s="6"/>
      <c r="E218" s="6"/>
      <c r="F218" s="3" t="s">
        <v>224</v>
      </c>
      <c r="G218" s="6"/>
      <c r="H218" s="6"/>
      <c r="I218" s="6"/>
      <c r="J218" s="6"/>
      <c r="K218" s="3"/>
      <c r="L218" s="3"/>
      <c r="M218" s="3"/>
      <c r="N218" s="3"/>
      <c r="O218" s="3"/>
      <c r="P218" s="3"/>
    </row>
    <row r="219" spans="1:16">
      <c r="A219" s="170"/>
      <c r="C219" s="6"/>
      <c r="D219" s="6"/>
      <c r="E219" s="6"/>
      <c r="F219" s="3" t="s">
        <v>225</v>
      </c>
      <c r="G219" s="6"/>
      <c r="H219" s="6"/>
      <c r="I219" s="6"/>
      <c r="J219" s="6"/>
      <c r="K219" s="3"/>
      <c r="L219" s="3"/>
      <c r="M219" s="3"/>
      <c r="N219" s="3"/>
      <c r="O219" s="3"/>
      <c r="P219" s="3"/>
    </row>
    <row r="220" spans="1:16">
      <c r="A220" s="170"/>
      <c r="C220" s="6"/>
      <c r="D220" s="6"/>
      <c r="E220" s="6"/>
      <c r="F220" s="3" t="s">
        <v>226</v>
      </c>
      <c r="G220" s="6"/>
      <c r="H220" s="6"/>
      <c r="I220" s="6"/>
      <c r="J220" s="6"/>
      <c r="K220" s="3"/>
      <c r="L220" s="3"/>
      <c r="M220" s="3"/>
      <c r="N220" s="3"/>
      <c r="O220" s="3"/>
      <c r="P220" s="3"/>
    </row>
    <row r="221" spans="1:16">
      <c r="A221" s="170"/>
      <c r="C221" s="6"/>
      <c r="D221" s="6"/>
      <c r="E221" s="6"/>
      <c r="F221" s="3" t="s">
        <v>227</v>
      </c>
      <c r="G221" s="6"/>
      <c r="H221" s="6"/>
      <c r="I221" s="6"/>
      <c r="J221" s="6"/>
      <c r="K221" s="3"/>
      <c r="L221" s="3"/>
      <c r="M221" s="3"/>
      <c r="N221" s="3"/>
      <c r="O221" s="3"/>
      <c r="P221" s="3"/>
    </row>
    <row r="222" spans="1:16">
      <c r="A222" s="170"/>
      <c r="C222" s="6"/>
      <c r="D222" s="6"/>
      <c r="E222" s="6"/>
      <c r="F222" s="3" t="s">
        <v>228</v>
      </c>
      <c r="G222" s="6"/>
      <c r="H222" s="6"/>
      <c r="I222" s="6"/>
      <c r="J222" s="6"/>
      <c r="K222" s="3"/>
      <c r="L222" s="3"/>
      <c r="M222" s="3"/>
      <c r="N222" s="3"/>
      <c r="O222" s="3"/>
      <c r="P222" s="3"/>
    </row>
    <row r="223" spans="1:16">
      <c r="A223" s="170"/>
      <c r="C223" s="6"/>
      <c r="D223" s="6"/>
      <c r="E223" s="6"/>
      <c r="F223" s="3" t="s">
        <v>229</v>
      </c>
      <c r="G223" s="6"/>
      <c r="H223" s="6"/>
      <c r="I223" s="6"/>
      <c r="J223" s="6"/>
      <c r="K223" s="3"/>
      <c r="L223" s="3"/>
      <c r="M223" s="3"/>
      <c r="N223" s="3"/>
      <c r="O223" s="3"/>
      <c r="P223" s="3"/>
    </row>
    <row r="224" spans="1:16">
      <c r="A224" s="170"/>
      <c r="C224" s="6"/>
      <c r="D224" s="6"/>
      <c r="E224" s="6"/>
      <c r="F224" s="3" t="s">
        <v>230</v>
      </c>
      <c r="G224" s="6"/>
      <c r="H224" s="6"/>
      <c r="I224" s="6"/>
      <c r="J224" s="6"/>
      <c r="K224" s="3"/>
      <c r="L224" s="3"/>
      <c r="M224" s="3"/>
      <c r="N224" s="3"/>
      <c r="O224" s="3"/>
      <c r="P224" s="3"/>
    </row>
    <row r="225" spans="1:16">
      <c r="A225" s="170"/>
      <c r="C225" s="6"/>
      <c r="D225" s="6"/>
      <c r="E225" s="6"/>
      <c r="F225" s="3" t="s">
        <v>231</v>
      </c>
      <c r="G225" s="6"/>
      <c r="H225" s="6"/>
      <c r="I225" s="6"/>
      <c r="J225" s="6"/>
      <c r="K225" s="3"/>
      <c r="L225" s="3"/>
      <c r="M225" s="3"/>
      <c r="N225" s="3"/>
      <c r="O225" s="3"/>
      <c r="P225" s="3"/>
    </row>
    <row r="226" spans="1:16">
      <c r="A226" s="170"/>
      <c r="C226" s="6"/>
      <c r="D226" s="6"/>
      <c r="E226" s="6"/>
      <c r="F226" s="3" t="s">
        <v>232</v>
      </c>
      <c r="G226" s="6"/>
      <c r="H226" s="6"/>
      <c r="I226" s="6"/>
      <c r="J226" s="6"/>
      <c r="K226" s="3"/>
      <c r="L226" s="3"/>
      <c r="M226" s="3"/>
      <c r="N226" s="3"/>
      <c r="O226" s="3"/>
      <c r="P226" s="3"/>
    </row>
    <row r="227" spans="1:16">
      <c r="A227" s="170"/>
      <c r="C227" s="6"/>
      <c r="D227" s="6"/>
      <c r="E227" s="6"/>
      <c r="F227" s="3" t="s">
        <v>233</v>
      </c>
      <c r="G227" s="6"/>
      <c r="H227" s="6"/>
      <c r="I227" s="6"/>
      <c r="J227" s="6"/>
      <c r="K227" s="3"/>
      <c r="L227" s="3"/>
      <c r="M227" s="3"/>
      <c r="N227" s="3"/>
      <c r="O227" s="3"/>
      <c r="P227" s="3"/>
    </row>
    <row r="228" spans="1:16">
      <c r="A228" s="170"/>
      <c r="C228" s="6"/>
      <c r="D228" s="6"/>
      <c r="E228" s="6"/>
      <c r="F228" s="3" t="s">
        <v>234</v>
      </c>
      <c r="G228" s="6"/>
      <c r="H228" s="6"/>
      <c r="I228" s="6"/>
      <c r="J228" s="6"/>
      <c r="K228" s="3"/>
      <c r="L228" s="3"/>
      <c r="M228" s="3"/>
      <c r="N228" s="3"/>
      <c r="O228" s="3"/>
      <c r="P228" s="3"/>
    </row>
    <row r="229" spans="1:16">
      <c r="A229" s="170"/>
      <c r="C229" s="6"/>
      <c r="D229" s="6"/>
      <c r="E229" s="6"/>
      <c r="F229" s="3" t="s">
        <v>235</v>
      </c>
      <c r="G229" s="6"/>
      <c r="H229" s="6"/>
      <c r="I229" s="6"/>
      <c r="J229" s="6"/>
      <c r="K229" s="3"/>
      <c r="L229" s="3"/>
      <c r="M229" s="3"/>
      <c r="N229" s="3"/>
      <c r="O229" s="3"/>
      <c r="P229" s="3"/>
    </row>
    <row r="230" spans="1:16">
      <c r="A230" s="170"/>
      <c r="C230" s="6"/>
      <c r="D230" s="6"/>
      <c r="E230" s="6"/>
      <c r="F230" s="3" t="s">
        <v>236</v>
      </c>
      <c r="G230" s="6"/>
      <c r="H230" s="6"/>
      <c r="I230" s="6"/>
      <c r="J230" s="6"/>
      <c r="K230" s="3"/>
      <c r="L230" s="3"/>
      <c r="M230" s="3"/>
      <c r="N230" s="3"/>
      <c r="O230" s="3"/>
      <c r="P230" s="3"/>
    </row>
    <row r="231" spans="1:16">
      <c r="A231" s="170"/>
      <c r="C231" s="6"/>
      <c r="D231" s="6"/>
      <c r="E231" s="6"/>
      <c r="F231" s="3" t="s">
        <v>237</v>
      </c>
      <c r="G231" s="6"/>
      <c r="H231" s="6"/>
      <c r="I231" s="6"/>
      <c r="J231" s="6"/>
      <c r="K231" s="3"/>
      <c r="L231" s="3"/>
      <c r="M231" s="3"/>
      <c r="N231" s="3"/>
      <c r="O231" s="3"/>
      <c r="P231" s="3"/>
    </row>
    <row r="232" spans="1:16">
      <c r="A232" s="170"/>
      <c r="C232" s="6"/>
      <c r="D232" s="6"/>
      <c r="E232" s="6"/>
      <c r="F232" s="3" t="s">
        <v>238</v>
      </c>
      <c r="G232" s="6"/>
      <c r="H232" s="6"/>
      <c r="I232" s="6"/>
      <c r="J232" s="6"/>
      <c r="K232" s="3"/>
      <c r="L232" s="3"/>
      <c r="M232" s="3"/>
      <c r="N232" s="3"/>
      <c r="O232" s="3"/>
      <c r="P232" s="3"/>
    </row>
    <row r="233" spans="1:16">
      <c r="A233" s="170"/>
      <c r="C233" s="6"/>
      <c r="D233" s="6"/>
      <c r="E233" s="6"/>
      <c r="F233" s="3" t="s">
        <v>239</v>
      </c>
      <c r="G233" s="6"/>
      <c r="H233" s="6"/>
      <c r="I233" s="6"/>
      <c r="J233" s="6"/>
      <c r="K233" s="3"/>
      <c r="L233" s="3"/>
      <c r="M233" s="3"/>
      <c r="N233" s="3"/>
      <c r="O233" s="3"/>
      <c r="P233" s="3"/>
    </row>
    <row r="234" spans="1:16">
      <c r="A234" s="170"/>
      <c r="C234" s="6"/>
      <c r="D234" s="6"/>
      <c r="E234" s="6"/>
      <c r="F234" s="3" t="s">
        <v>240</v>
      </c>
      <c r="G234" s="6"/>
      <c r="H234" s="6"/>
      <c r="I234" s="6"/>
      <c r="J234" s="6"/>
      <c r="K234" s="3"/>
      <c r="L234" s="3"/>
      <c r="M234" s="3"/>
      <c r="N234" s="3"/>
      <c r="O234" s="3"/>
      <c r="P234" s="3"/>
    </row>
    <row r="235" spans="1:16">
      <c r="A235" s="170"/>
      <c r="C235" s="6"/>
      <c r="D235" s="6"/>
      <c r="E235" s="6"/>
      <c r="F235" s="3" t="s">
        <v>241</v>
      </c>
      <c r="G235" s="6"/>
      <c r="H235" s="6"/>
      <c r="I235" s="6"/>
      <c r="J235" s="6"/>
      <c r="K235" s="3"/>
      <c r="L235" s="3"/>
      <c r="M235" s="3"/>
      <c r="N235" s="3"/>
      <c r="O235" s="3"/>
      <c r="P235" s="3"/>
    </row>
    <row r="236" spans="1:16">
      <c r="A236" s="170"/>
      <c r="C236" s="6"/>
      <c r="D236" s="6"/>
      <c r="E236" s="6"/>
      <c r="F236" s="3" t="s">
        <v>242</v>
      </c>
      <c r="G236" s="6"/>
      <c r="H236" s="6"/>
      <c r="I236" s="6"/>
      <c r="J236" s="6"/>
      <c r="K236" s="3"/>
      <c r="L236" s="3"/>
      <c r="M236" s="3"/>
      <c r="N236" s="3"/>
      <c r="O236" s="3"/>
      <c r="P236" s="3"/>
    </row>
    <row r="237" spans="1:16">
      <c r="A237" s="170"/>
      <c r="C237" s="6"/>
      <c r="D237" s="6"/>
      <c r="E237" s="6"/>
      <c r="F237" s="3" t="s">
        <v>243</v>
      </c>
      <c r="G237" s="6"/>
      <c r="H237" s="6"/>
      <c r="I237" s="6"/>
      <c r="J237" s="6"/>
      <c r="K237" s="3"/>
      <c r="L237" s="3"/>
      <c r="M237" s="3"/>
      <c r="N237" s="3"/>
      <c r="O237" s="3"/>
      <c r="P237" s="3"/>
    </row>
    <row r="238" spans="1:16">
      <c r="A238" s="170"/>
      <c r="C238" s="6"/>
      <c r="D238" s="6"/>
      <c r="E238" s="6"/>
      <c r="F238" s="3" t="s">
        <v>244</v>
      </c>
      <c r="G238" s="6"/>
      <c r="H238" s="6"/>
      <c r="I238" s="6"/>
      <c r="J238" s="6"/>
      <c r="K238" s="3"/>
      <c r="L238" s="3"/>
      <c r="M238" s="3"/>
      <c r="N238" s="3"/>
      <c r="O238" s="3"/>
      <c r="P238" s="3"/>
    </row>
    <row r="239" spans="1:16">
      <c r="A239" s="170"/>
      <c r="C239" s="6"/>
      <c r="D239" s="6"/>
      <c r="E239" s="6"/>
      <c r="F239" s="3" t="s">
        <v>245</v>
      </c>
      <c r="G239" s="6"/>
      <c r="H239" s="6"/>
      <c r="I239" s="6"/>
      <c r="J239" s="6"/>
      <c r="K239" s="3"/>
      <c r="L239" s="3"/>
      <c r="M239" s="3"/>
      <c r="N239" s="3"/>
      <c r="O239" s="3"/>
      <c r="P239" s="3"/>
    </row>
    <row r="240" spans="1:16">
      <c r="A240" s="170"/>
      <c r="C240" s="6"/>
      <c r="D240" s="6"/>
      <c r="E240" s="6"/>
      <c r="F240" s="3" t="s">
        <v>246</v>
      </c>
      <c r="G240" s="6"/>
      <c r="H240" s="6"/>
      <c r="I240" s="6"/>
      <c r="J240" s="6"/>
      <c r="K240" s="3"/>
      <c r="L240" s="3"/>
      <c r="M240" s="3"/>
      <c r="N240" s="3"/>
      <c r="O240" s="3"/>
      <c r="P240" s="3"/>
    </row>
    <row r="241" spans="1:16">
      <c r="A241" s="170"/>
      <c r="C241" s="6"/>
      <c r="D241" s="6"/>
      <c r="E241" s="6"/>
      <c r="F241" s="3" t="s">
        <v>247</v>
      </c>
      <c r="G241" s="6"/>
      <c r="H241" s="6"/>
      <c r="I241" s="6"/>
      <c r="J241" s="6"/>
      <c r="K241" s="3"/>
      <c r="L241" s="3"/>
      <c r="M241" s="3"/>
      <c r="N241" s="3"/>
      <c r="O241" s="3"/>
      <c r="P241" s="3"/>
    </row>
    <row r="242" spans="1:16">
      <c r="A242" s="170"/>
      <c r="C242" s="6"/>
      <c r="D242" s="6"/>
      <c r="E242" s="6"/>
      <c r="F242" s="3" t="s">
        <v>248</v>
      </c>
      <c r="G242" s="6"/>
      <c r="H242" s="6"/>
      <c r="I242" s="6"/>
      <c r="J242" s="6"/>
      <c r="K242" s="3"/>
      <c r="L242" s="3"/>
      <c r="M242" s="3"/>
      <c r="N242" s="3"/>
      <c r="O242" s="3"/>
      <c r="P242" s="3"/>
    </row>
    <row r="243" spans="1:16">
      <c r="A243" s="170"/>
      <c r="C243" s="6"/>
      <c r="D243" s="6"/>
      <c r="E243" s="6"/>
      <c r="F243" s="3" t="s">
        <v>249</v>
      </c>
      <c r="G243" s="6"/>
      <c r="H243" s="6"/>
      <c r="I243" s="6"/>
      <c r="J243" s="6"/>
      <c r="K243" s="3"/>
      <c r="L243" s="3"/>
      <c r="M243" s="3"/>
      <c r="N243" s="3"/>
      <c r="O243" s="3"/>
      <c r="P243" s="3"/>
    </row>
    <row r="244" spans="1:16">
      <c r="A244" s="170"/>
      <c r="C244" s="6"/>
      <c r="D244" s="6"/>
      <c r="E244" s="6"/>
      <c r="F244" s="3" t="s">
        <v>250</v>
      </c>
      <c r="G244" s="6"/>
      <c r="H244" s="6"/>
      <c r="I244" s="6"/>
      <c r="J244" s="6"/>
      <c r="K244" s="3"/>
      <c r="L244" s="3"/>
      <c r="M244" s="3"/>
      <c r="N244" s="3"/>
      <c r="O244" s="3"/>
      <c r="P244" s="3"/>
    </row>
    <row r="245" spans="1:16">
      <c r="A245" s="170"/>
      <c r="C245" s="6"/>
      <c r="D245" s="6"/>
      <c r="E245" s="6"/>
      <c r="F245" s="3" t="s">
        <v>251</v>
      </c>
      <c r="G245" s="6"/>
      <c r="H245" s="6"/>
      <c r="I245" s="6"/>
      <c r="J245" s="6"/>
      <c r="K245" s="3"/>
      <c r="L245" s="3"/>
      <c r="M245" s="3"/>
      <c r="N245" s="3"/>
      <c r="O245" s="3"/>
      <c r="P245" s="3"/>
    </row>
    <row r="246" spans="1:16">
      <c r="A246" s="170"/>
      <c r="C246" s="6"/>
      <c r="D246" s="6"/>
      <c r="E246" s="6"/>
      <c r="F246" s="3" t="s">
        <v>252</v>
      </c>
      <c r="G246" s="6"/>
      <c r="H246" s="6"/>
      <c r="I246" s="6"/>
      <c r="J246" s="6"/>
      <c r="K246" s="3"/>
      <c r="L246" s="3"/>
      <c r="M246" s="3"/>
      <c r="N246" s="3"/>
      <c r="O246" s="3"/>
      <c r="P246" s="3"/>
    </row>
    <row r="247" spans="1:16">
      <c r="A247" s="170"/>
      <c r="C247" s="6"/>
      <c r="D247" s="6"/>
      <c r="E247" s="6"/>
      <c r="F247" s="3" t="s">
        <v>253</v>
      </c>
      <c r="G247" s="6"/>
      <c r="H247" s="6"/>
      <c r="I247" s="6"/>
      <c r="J247" s="6"/>
      <c r="K247" s="3"/>
      <c r="L247" s="3"/>
      <c r="M247" s="3"/>
      <c r="N247" s="3"/>
      <c r="O247" s="3"/>
      <c r="P247" s="3"/>
    </row>
    <row r="248" spans="1:16">
      <c r="A248" s="170"/>
      <c r="C248" s="6"/>
      <c r="D248" s="6"/>
      <c r="E248" s="6"/>
      <c r="F248" s="3" t="s">
        <v>254</v>
      </c>
      <c r="G248" s="6"/>
      <c r="H248" s="6"/>
      <c r="I248" s="6"/>
      <c r="J248" s="6"/>
      <c r="K248" s="3"/>
      <c r="L248" s="3"/>
      <c r="M248" s="3"/>
      <c r="N248" s="3"/>
      <c r="O248" s="3"/>
      <c r="P248" s="3"/>
    </row>
    <row r="249" spans="1:16">
      <c r="A249" s="170"/>
      <c r="C249" s="6"/>
      <c r="D249" s="6"/>
      <c r="E249" s="6"/>
      <c r="F249" s="3" t="s">
        <v>253</v>
      </c>
      <c r="G249" s="6"/>
      <c r="H249" s="6"/>
      <c r="I249" s="6"/>
      <c r="J249" s="6"/>
      <c r="K249" s="3"/>
      <c r="L249" s="3"/>
      <c r="M249" s="3"/>
      <c r="N249" s="3"/>
      <c r="O249" s="3"/>
      <c r="P249" s="3"/>
    </row>
    <row r="250" spans="1:16">
      <c r="A250" s="170"/>
      <c r="C250" s="6"/>
      <c r="D250" s="6"/>
      <c r="E250" s="6"/>
      <c r="F250" s="3" t="s">
        <v>254</v>
      </c>
      <c r="G250" s="6"/>
      <c r="H250" s="6"/>
      <c r="I250" s="6"/>
      <c r="J250" s="6"/>
      <c r="K250" s="3"/>
      <c r="L250" s="3"/>
      <c r="M250" s="3"/>
      <c r="N250" s="3"/>
      <c r="O250" s="3"/>
      <c r="P250" s="3"/>
    </row>
    <row r="251" spans="1:16">
      <c r="A251" s="170"/>
      <c r="C251" s="6"/>
      <c r="D251" s="6"/>
      <c r="E251" s="6"/>
      <c r="F251" s="3"/>
      <c r="G251" s="6"/>
      <c r="H251" s="6"/>
      <c r="I251" s="6"/>
      <c r="J251" s="6"/>
      <c r="K251" s="3"/>
      <c r="L251" s="3"/>
      <c r="M251" s="3"/>
      <c r="N251" s="3"/>
      <c r="O251" s="3"/>
      <c r="P251" s="3"/>
    </row>
    <row r="252" spans="1:16">
      <c r="A252" s="170"/>
      <c r="C252" s="6"/>
      <c r="D252" s="6"/>
      <c r="E252" s="6"/>
      <c r="F252" s="3"/>
      <c r="G252" s="6"/>
      <c r="H252" s="6"/>
      <c r="I252" s="6"/>
      <c r="J252" s="6"/>
      <c r="K252" s="3"/>
      <c r="L252" s="3"/>
      <c r="M252" s="3"/>
      <c r="N252" s="3"/>
      <c r="O252" s="3"/>
      <c r="P252" s="3"/>
    </row>
    <row r="253" spans="1:16">
      <c r="A253" s="170"/>
      <c r="C253" s="6"/>
      <c r="D253" s="6"/>
      <c r="E253" s="6"/>
      <c r="F253" s="3"/>
      <c r="G253" s="6"/>
      <c r="H253" s="6"/>
      <c r="I253" s="6"/>
      <c r="J253" s="6"/>
      <c r="K253" s="3"/>
      <c r="L253" s="3"/>
      <c r="M253" s="3"/>
      <c r="N253" s="3"/>
      <c r="O253" s="3"/>
      <c r="P253" s="3"/>
    </row>
    <row r="254" spans="1:16">
      <c r="A254" s="170"/>
      <c r="C254" s="6"/>
      <c r="D254" s="6"/>
      <c r="E254" s="6"/>
      <c r="F254" s="3"/>
      <c r="G254" s="6"/>
      <c r="H254" s="6"/>
      <c r="I254" s="6"/>
      <c r="J254" s="6"/>
      <c r="K254" s="3"/>
      <c r="L254" s="3"/>
      <c r="M254" s="3"/>
      <c r="N254" s="3"/>
      <c r="O254" s="3"/>
      <c r="P254" s="3"/>
    </row>
    <row r="255" spans="1:16">
      <c r="A255" s="170"/>
      <c r="C255" s="6"/>
      <c r="D255" s="6"/>
      <c r="E255" s="6"/>
      <c r="F255" s="3"/>
      <c r="G255" s="6"/>
      <c r="H255" s="6"/>
      <c r="I255" s="6"/>
      <c r="J255" s="6"/>
      <c r="K255" s="3"/>
      <c r="L255" s="3"/>
      <c r="M255" s="3"/>
      <c r="N255" s="3"/>
      <c r="O255" s="3"/>
      <c r="P255" s="3"/>
    </row>
    <row r="256" spans="1:16">
      <c r="A256" s="170"/>
      <c r="C256" s="6"/>
      <c r="D256" s="6"/>
      <c r="E256" s="6"/>
      <c r="F256" s="6"/>
      <c r="G256" s="6"/>
      <c r="H256" s="6"/>
      <c r="I256" s="6"/>
      <c r="J256" s="6"/>
      <c r="K256" s="3"/>
      <c r="L256" s="3"/>
      <c r="M256" s="3"/>
      <c r="N256" s="3"/>
      <c r="O256" s="3"/>
      <c r="P256" s="3"/>
    </row>
    <row r="257" spans="1:16">
      <c r="A257" s="170"/>
      <c r="C257" s="6"/>
      <c r="D257" s="6"/>
      <c r="E257" s="6"/>
      <c r="F257" s="6"/>
      <c r="G257" s="6"/>
      <c r="H257" s="6"/>
      <c r="I257" s="6"/>
      <c r="J257" s="6"/>
      <c r="K257" s="3"/>
      <c r="L257" s="3"/>
      <c r="M257" s="3"/>
      <c r="N257" s="3"/>
      <c r="O257" s="3"/>
      <c r="P257" s="3"/>
    </row>
    <row r="258" spans="1:16">
      <c r="A258" s="170"/>
      <c r="C258" s="6"/>
      <c r="D258" s="6"/>
      <c r="E258" s="6"/>
      <c r="F258" s="6"/>
      <c r="G258" s="6"/>
      <c r="H258" s="6"/>
      <c r="I258" s="6"/>
      <c r="J258" s="6"/>
      <c r="K258" s="3"/>
      <c r="L258" s="3"/>
      <c r="M258" s="3"/>
      <c r="N258" s="3"/>
      <c r="O258" s="3"/>
      <c r="P258" s="3"/>
    </row>
    <row r="259" spans="1:16">
      <c r="A259" s="170"/>
      <c r="C259" s="6"/>
      <c r="D259" s="6"/>
      <c r="E259" s="6"/>
      <c r="F259" s="6"/>
      <c r="G259" s="6"/>
      <c r="H259" s="6"/>
      <c r="I259" s="6"/>
      <c r="J259" s="6"/>
      <c r="K259" s="3"/>
      <c r="L259" s="3"/>
      <c r="M259" s="3"/>
      <c r="N259" s="3"/>
      <c r="O259" s="3"/>
      <c r="P259" s="3"/>
    </row>
    <row r="260" spans="1:16">
      <c r="A260" s="170"/>
      <c r="C260" s="6"/>
      <c r="D260" s="6"/>
      <c r="E260" s="6"/>
      <c r="F260" s="6"/>
      <c r="G260" s="6"/>
      <c r="H260" s="6"/>
      <c r="I260" s="6"/>
      <c r="J260" s="6"/>
      <c r="K260" s="3"/>
      <c r="L260" s="3"/>
      <c r="M260" s="3"/>
      <c r="N260" s="3"/>
      <c r="O260" s="3"/>
      <c r="P260" s="3"/>
    </row>
    <row r="261" spans="1:16">
      <c r="A261" s="170"/>
      <c r="C261" s="6"/>
      <c r="D261" s="6"/>
      <c r="E261" s="6"/>
      <c r="F261" s="6"/>
      <c r="G261" s="6"/>
      <c r="H261" s="6"/>
      <c r="I261" s="6"/>
      <c r="J261" s="6"/>
      <c r="K261" s="3"/>
      <c r="L261" s="3"/>
      <c r="M261" s="3"/>
      <c r="N261" s="3"/>
      <c r="O261" s="3"/>
      <c r="P261" s="3"/>
    </row>
    <row r="262" spans="1:16">
      <c r="A262" s="170"/>
      <c r="C262" s="6"/>
      <c r="D262" s="6"/>
      <c r="E262" s="6"/>
      <c r="F262" s="6"/>
      <c r="G262" s="6"/>
      <c r="H262" s="6"/>
      <c r="I262" s="6"/>
      <c r="J262" s="6"/>
      <c r="K262" s="3"/>
      <c r="L262" s="3"/>
      <c r="M262" s="3"/>
      <c r="N262" s="3"/>
      <c r="O262" s="3"/>
      <c r="P262" s="3"/>
    </row>
    <row r="263" spans="1:16">
      <c r="A263" s="170"/>
      <c r="C263" s="6"/>
      <c r="D263" s="6"/>
      <c r="E263" s="6"/>
      <c r="F263" s="6"/>
      <c r="G263" s="6"/>
      <c r="H263" s="6"/>
      <c r="I263" s="6"/>
      <c r="J263" s="6"/>
      <c r="K263" s="3"/>
      <c r="L263" s="3"/>
      <c r="M263" s="3"/>
      <c r="N263" s="3"/>
      <c r="O263" s="3"/>
      <c r="P263" s="3"/>
    </row>
    <row r="264" spans="1:16">
      <c r="A264" s="170"/>
      <c r="C264" s="6"/>
      <c r="D264" s="6"/>
      <c r="E264" s="6"/>
      <c r="F264" s="6"/>
      <c r="G264" s="6"/>
      <c r="H264" s="6"/>
      <c r="I264" s="6"/>
      <c r="J264" s="6"/>
      <c r="K264" s="3"/>
      <c r="L264" s="3"/>
      <c r="M264" s="3"/>
      <c r="N264" s="3"/>
      <c r="O264" s="3"/>
      <c r="P264" s="3"/>
    </row>
    <row r="265" spans="1:16">
      <c r="A265" s="170"/>
      <c r="C265" s="6"/>
      <c r="D265" s="6"/>
      <c r="E265" s="6"/>
      <c r="F265" s="6"/>
      <c r="G265" s="6"/>
      <c r="H265" s="6"/>
      <c r="I265" s="6"/>
      <c r="J265" s="6"/>
      <c r="K265" s="3"/>
      <c r="L265" s="3"/>
      <c r="M265" s="3"/>
      <c r="N265" s="3"/>
      <c r="O265" s="3"/>
      <c r="P265" s="3"/>
    </row>
    <row r="266" spans="1:16">
      <c r="A266" s="170"/>
      <c r="C266" s="6"/>
      <c r="D266" s="6"/>
      <c r="E266" s="6"/>
      <c r="F266" s="6"/>
      <c r="G266" s="6"/>
      <c r="H266" s="6"/>
      <c r="I266" s="6"/>
      <c r="J266" s="6"/>
      <c r="K266" s="3"/>
      <c r="L266" s="3"/>
      <c r="M266" s="3"/>
      <c r="N266" s="3"/>
      <c r="O266" s="3"/>
      <c r="P266" s="3"/>
    </row>
    <row r="267" spans="1:16">
      <c r="A267" s="170"/>
      <c r="C267" s="6"/>
      <c r="D267" s="6"/>
      <c r="E267" s="6"/>
      <c r="F267" s="6"/>
      <c r="G267" s="6"/>
      <c r="H267" s="6"/>
      <c r="I267" s="6"/>
      <c r="J267" s="6"/>
      <c r="K267" s="3"/>
      <c r="L267" s="3"/>
      <c r="M267" s="3"/>
      <c r="N267" s="3"/>
      <c r="O267" s="3"/>
      <c r="P267" s="3"/>
    </row>
    <row r="268" spans="1:16">
      <c r="A268" s="170"/>
      <c r="C268" s="6"/>
      <c r="D268" s="6"/>
      <c r="E268" s="6"/>
      <c r="F268" s="6"/>
      <c r="G268" s="6"/>
      <c r="H268" s="6"/>
      <c r="I268" s="6"/>
      <c r="J268" s="6"/>
      <c r="K268" s="3"/>
      <c r="L268" s="3"/>
      <c r="M268" s="3"/>
      <c r="N268" s="3"/>
      <c r="O268" s="3"/>
      <c r="P268" s="3"/>
    </row>
    <row r="269" spans="1:16">
      <c r="A269" s="170"/>
      <c r="C269" s="6"/>
      <c r="D269" s="6"/>
      <c r="E269" s="6"/>
      <c r="F269" s="6"/>
      <c r="G269" s="6"/>
      <c r="H269" s="6"/>
      <c r="I269" s="6"/>
      <c r="J269" s="6"/>
      <c r="K269" s="3"/>
      <c r="L269" s="3"/>
      <c r="M269" s="3"/>
      <c r="N269" s="3"/>
      <c r="O269" s="3"/>
      <c r="P269" s="3"/>
    </row>
    <row r="270" spans="1:16">
      <c r="A270" s="170"/>
      <c r="C270" s="6"/>
      <c r="D270" s="6"/>
      <c r="E270" s="6"/>
      <c r="F270" s="6"/>
      <c r="G270" s="6"/>
      <c r="H270" s="6"/>
      <c r="I270" s="6"/>
      <c r="J270" s="6"/>
      <c r="K270" s="3"/>
      <c r="L270" s="3"/>
      <c r="M270" s="3"/>
      <c r="N270" s="3"/>
      <c r="O270" s="3"/>
      <c r="P270" s="3"/>
    </row>
    <row r="271" spans="1:16">
      <c r="A271" s="170"/>
      <c r="C271" s="6"/>
      <c r="D271" s="6"/>
      <c r="E271" s="6"/>
      <c r="F271" s="6"/>
      <c r="G271" s="6"/>
      <c r="H271" s="6"/>
      <c r="I271" s="6"/>
      <c r="J271" s="6"/>
      <c r="K271" s="3"/>
      <c r="L271" s="3"/>
      <c r="M271" s="3"/>
      <c r="N271" s="3"/>
      <c r="O271" s="3"/>
      <c r="P271" s="3"/>
    </row>
    <row r="272" spans="1:16">
      <c r="A272" s="170"/>
      <c r="C272" s="6"/>
      <c r="D272" s="6"/>
      <c r="E272" s="6"/>
      <c r="F272" s="6"/>
      <c r="G272" s="6"/>
      <c r="H272" s="6"/>
      <c r="I272" s="6"/>
      <c r="J272" s="6"/>
      <c r="K272" s="3"/>
      <c r="L272" s="3"/>
      <c r="M272" s="3"/>
      <c r="N272" s="3"/>
      <c r="O272" s="3"/>
      <c r="P272" s="3"/>
    </row>
    <row r="273" spans="1:16">
      <c r="A273" s="170"/>
      <c r="C273" s="6"/>
      <c r="D273" s="6"/>
      <c r="E273" s="6"/>
      <c r="F273" s="6"/>
      <c r="G273" s="6"/>
      <c r="H273" s="6"/>
      <c r="I273" s="6"/>
      <c r="J273" s="6"/>
      <c r="K273" s="3"/>
      <c r="L273" s="3"/>
      <c r="M273" s="3"/>
      <c r="N273" s="3"/>
      <c r="O273" s="3"/>
      <c r="P273" s="3"/>
    </row>
    <row r="274" spans="1:16">
      <c r="A274" s="170"/>
      <c r="C274" s="6"/>
      <c r="D274" s="6"/>
      <c r="E274" s="6"/>
      <c r="F274" s="6"/>
      <c r="G274" s="6"/>
      <c r="H274" s="6"/>
      <c r="I274" s="6"/>
      <c r="J274" s="6"/>
      <c r="K274" s="3"/>
      <c r="L274" s="3"/>
      <c r="M274" s="3"/>
      <c r="N274" s="3"/>
      <c r="O274" s="3"/>
      <c r="P274" s="3"/>
    </row>
    <row r="275" spans="1:16">
      <c r="A275" s="170"/>
      <c r="C275" s="6"/>
      <c r="D275" s="6"/>
      <c r="E275" s="6"/>
      <c r="F275" s="6"/>
      <c r="G275" s="6"/>
      <c r="H275" s="6"/>
      <c r="I275" s="6"/>
      <c r="J275" s="6"/>
      <c r="K275" s="3"/>
      <c r="L275" s="3"/>
      <c r="M275" s="3"/>
      <c r="N275" s="3"/>
      <c r="O275" s="3"/>
      <c r="P275" s="3"/>
    </row>
    <row r="276" spans="1:16">
      <c r="A276" s="170"/>
      <c r="C276" s="6"/>
      <c r="D276" s="6"/>
      <c r="E276" s="6"/>
      <c r="F276" s="6"/>
      <c r="G276" s="6"/>
      <c r="H276" s="6"/>
      <c r="I276" s="6"/>
      <c r="J276" s="6"/>
      <c r="K276" s="3"/>
      <c r="L276" s="3"/>
      <c r="M276" s="3"/>
      <c r="N276" s="3"/>
      <c r="O276" s="3"/>
      <c r="P276" s="3"/>
    </row>
    <row r="277" spans="1:16">
      <c r="A277" s="171"/>
      <c r="C277" s="6"/>
      <c r="D277" s="6"/>
      <c r="E277" s="6"/>
      <c r="F277" s="6"/>
      <c r="G277" s="6"/>
      <c r="H277" s="6"/>
      <c r="I277" s="6"/>
      <c r="J277" s="6"/>
      <c r="K277" s="3"/>
      <c r="L277" s="3"/>
      <c r="M277" s="3"/>
      <c r="N277" s="3"/>
      <c r="O277" s="3"/>
      <c r="P277" s="3"/>
    </row>
  </sheetData>
  <sheetProtection password="AB7F" sheet="1" objects="1" scenarios="1"/>
  <mergeCells count="74">
    <mergeCell ref="R78:S78"/>
    <mergeCell ref="A51:A63"/>
    <mergeCell ref="A94:A277"/>
    <mergeCell ref="K65:P65"/>
    <mergeCell ref="B66:J66"/>
    <mergeCell ref="B69:J69"/>
    <mergeCell ref="B70:J70"/>
    <mergeCell ref="B75:J75"/>
    <mergeCell ref="A76:A85"/>
    <mergeCell ref="C52:J52"/>
    <mergeCell ref="K51:O51"/>
    <mergeCell ref="B35:J35"/>
    <mergeCell ref="B39:J39"/>
    <mergeCell ref="B43:J43"/>
    <mergeCell ref="B50:J50"/>
    <mergeCell ref="B30:J30"/>
    <mergeCell ref="B31:C31"/>
    <mergeCell ref="E31:G31"/>
    <mergeCell ref="I31:J31"/>
    <mergeCell ref="B32:C32"/>
    <mergeCell ref="E32:G32"/>
    <mergeCell ref="I32:J34"/>
    <mergeCell ref="B33:C33"/>
    <mergeCell ref="E33:G33"/>
    <mergeCell ref="B34:C34"/>
    <mergeCell ref="E34:G34"/>
    <mergeCell ref="B22:J25"/>
    <mergeCell ref="B26:B27"/>
    <mergeCell ref="C26:J27"/>
    <mergeCell ref="B28:B29"/>
    <mergeCell ref="C28:J29"/>
    <mergeCell ref="E17:F17"/>
    <mergeCell ref="G17:J17"/>
    <mergeCell ref="C18:D18"/>
    <mergeCell ref="E18:F18"/>
    <mergeCell ref="G18:J18"/>
    <mergeCell ref="C17:D17"/>
    <mergeCell ref="C19:J19"/>
    <mergeCell ref="C20:J20"/>
    <mergeCell ref="B21:E21"/>
    <mergeCell ref="F21:H21"/>
    <mergeCell ref="I21:J21"/>
    <mergeCell ref="G15:J15"/>
    <mergeCell ref="R51:S51"/>
    <mergeCell ref="B1:J1"/>
    <mergeCell ref="B8:J8"/>
    <mergeCell ref="G12:J12"/>
    <mergeCell ref="B13:B14"/>
    <mergeCell ref="C13:D14"/>
    <mergeCell ref="E13:F14"/>
    <mergeCell ref="G13:J14"/>
    <mergeCell ref="F10:J10"/>
    <mergeCell ref="C11:E11"/>
    <mergeCell ref="G11:J11"/>
    <mergeCell ref="C12:E12"/>
    <mergeCell ref="C16:D16"/>
    <mergeCell ref="G16:J16"/>
    <mergeCell ref="B19:B20"/>
    <mergeCell ref="A2:A45"/>
    <mergeCell ref="B2:J2"/>
    <mergeCell ref="C3:E3"/>
    <mergeCell ref="G3:H3"/>
    <mergeCell ref="C4:E4"/>
    <mergeCell ref="G4:H4"/>
    <mergeCell ref="C5:E5"/>
    <mergeCell ref="G5:H5"/>
    <mergeCell ref="B6:E6"/>
    <mergeCell ref="G6:H6"/>
    <mergeCell ref="B7:E7"/>
    <mergeCell ref="G7:H7"/>
    <mergeCell ref="E16:F16"/>
    <mergeCell ref="B10:E10"/>
    <mergeCell ref="C15:D15"/>
    <mergeCell ref="E15:F15"/>
  </mergeCells>
  <conditionalFormatting sqref="C46:J46 C86:J86">
    <cfRule type="cellIs" dxfId="0" priority="3" stopIfTrue="1" operator="equal">
      <formula>$K$86</formula>
    </cfRule>
  </conditionalFormatting>
  <dataValidations count="6">
    <dataValidation allowBlank="1" sqref="I21:J21"/>
    <dataValidation type="list" allowBlank="1" sqref="J6">
      <formula1>$B$101:$B$102</formula1>
    </dataValidation>
    <dataValidation type="list" allowBlank="1" sqref="C86:J86">
      <formula1>$K$86</formula1>
    </dataValidation>
    <dataValidation type="list" allowBlank="1" sqref="C52:J52">
      <formula1>#REF!</formula1>
    </dataValidation>
    <dataValidation type="list" allowBlank="1" showInputMessage="1" showErrorMessage="1" sqref="C4:E4">
      <formula1>$F$106:$F$248</formula1>
    </dataValidation>
    <dataValidation type="list" allowBlank="1" showInputMessage="1" showErrorMessage="1" sqref="G6:H6">
      <formula1>$B$106:$B$131</formula1>
    </dataValidation>
  </dataValidations>
  <pageMargins left="0.51181102362204722" right="0.51181102362204722" top="0.78740157480314965" bottom="0.78740157480314965" header="0.31496062992125984" footer="0.31496062992125984"/>
  <pageSetup paperSize="9" scale="35" orientation="portrait" r:id="rId1"/>
  <legacyDrawing r:id="rId2"/>
  <controls>
    <control shapeId="3073" r:id="rId3" name="cmdPesquisa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CAMILA</vt:lpstr>
      <vt:lpstr>CAMILA!Area_de_impressao</vt:lpstr>
    </vt:vector>
  </TitlesOfParts>
  <Company>Rtm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</cp:lastModifiedBy>
  <cp:lastPrinted>2011-06-14T18:01:20Z</cp:lastPrinted>
  <dcterms:created xsi:type="dcterms:W3CDTF">2011-03-16T19:58:59Z</dcterms:created>
  <dcterms:modified xsi:type="dcterms:W3CDTF">2011-08-12T15:12:08Z</dcterms:modified>
</cp:coreProperties>
</file>